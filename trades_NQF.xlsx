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eer/Documents/Developer/EvalPass/"/>
    </mc:Choice>
  </mc:AlternateContent>
  <xr:revisionPtr revIDLastSave="0" documentId="13_ncr:9_{26A0E238-DEE0-0E44-9D9D-1B8B9352BA27}" xr6:coauthVersionLast="47" xr6:coauthVersionMax="47" xr10:uidLastSave="{00000000-0000-0000-0000-000000000000}"/>
  <bookViews>
    <workbookView xWindow="1100" yWindow="900" windowWidth="28040" windowHeight="17180" activeTab="1" xr2:uid="{5B78BDCF-B296-6A45-A938-0816B3553439}"/>
  </bookViews>
  <sheets>
    <sheet name="Sheet1" sheetId="2" r:id="rId1"/>
    <sheet name="trades_NQF (2)" sheetId="3" r:id="rId2"/>
    <sheet name="trades_NQF" sheetId="1" r:id="rId3"/>
  </sheets>
  <definedNames>
    <definedName name="_xlnm._FilterDatabase" localSheetId="2" hidden="1">trades_NQF!$A$1:$K$130</definedName>
    <definedName name="ExternalData_1" localSheetId="1" hidden="1">'trades_NQF (2)'!$A$1:$K$92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2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571C7-BE5D-BC45-8E33-E24423AEECB2}" keepAlive="1" name="Query - trades_NQF" description="Connection to the 'trades_NQF' query in the workbook." type="5" refreshedVersion="8" background="1" saveData="1">
    <dbPr connection="Provider=Microsoft.Mashup.OleDb.1;Data Source=$Workbook$;Location=trades_NQF;Extended Properties=&quot;&quot;" command="SELECT * FROM [trades_NQF]"/>
  </connection>
</connections>
</file>

<file path=xl/sharedStrings.xml><?xml version="1.0" encoding="utf-8"?>
<sst xmlns="http://schemas.openxmlformats.org/spreadsheetml/2006/main" count="578" uniqueCount="73">
  <si>
    <t>Trade_Date</t>
  </si>
  <si>
    <t>Entry_Time</t>
  </si>
  <si>
    <t>Exit_Time</t>
  </si>
  <si>
    <t>Session</t>
  </si>
  <si>
    <t>Strategy</t>
  </si>
  <si>
    <t>Type</t>
  </si>
  <si>
    <t>Entry_Price</t>
  </si>
  <si>
    <t>Exit_Price</t>
  </si>
  <si>
    <t>PnL_pts</t>
  </si>
  <si>
    <t>Duration</t>
  </si>
  <si>
    <t>Exit_Reason</t>
  </si>
  <si>
    <t>Trend A</t>
  </si>
  <si>
    <t>SHORT</t>
  </si>
  <si>
    <t>0 days 00:01:00</t>
  </si>
  <si>
    <t>Target (VAL)</t>
  </si>
  <si>
    <t>0 days 00:02:00</t>
  </si>
  <si>
    <t>Fade B</t>
  </si>
  <si>
    <t>LONG</t>
  </si>
  <si>
    <t>0 days 00:04:00</t>
  </si>
  <si>
    <t>Stop Loss</t>
  </si>
  <si>
    <t>0 days 00:12:00</t>
  </si>
  <si>
    <t>0 days 00:08:00</t>
  </si>
  <si>
    <t>Asia</t>
  </si>
  <si>
    <t>Target (VAH)</t>
  </si>
  <si>
    <t>0 days 00:05:00</t>
  </si>
  <si>
    <t>Target (POC)</t>
  </si>
  <si>
    <t>0 days 00:11:00</t>
  </si>
  <si>
    <t>0 days 00:20:00</t>
  </si>
  <si>
    <t>0 days 00:06:00</t>
  </si>
  <si>
    <t>0 days 00:09:00</t>
  </si>
  <si>
    <t>0 days 00:07:00</t>
  </si>
  <si>
    <t>London</t>
  </si>
  <si>
    <t>0 days 00:03:00</t>
  </si>
  <si>
    <t>0 days 00:10:00</t>
  </si>
  <si>
    <t>0 days 00:13:00</t>
  </si>
  <si>
    <t>2026-02-08 18:19:00-05:00</t>
  </si>
  <si>
    <t>2026-02-08 18:32:00-05:00</t>
  </si>
  <si>
    <t>2026-02-08 19:11:00-05:00</t>
  </si>
  <si>
    <t>2026-02-08 19:14:00-05:00</t>
  </si>
  <si>
    <t>2026-02-08 19:16:00-05:00</t>
  </si>
  <si>
    <t>2026-02-08 19:20:00-05:00</t>
  </si>
  <si>
    <t>2026-02-08 19:24:00-05:00</t>
  </si>
  <si>
    <t>2026-02-08 19:34:00-05:00</t>
  </si>
  <si>
    <t>2026-02-08 19:46:00-05:00</t>
  </si>
  <si>
    <t>2026-02-08 20:00:00-05:00</t>
  </si>
  <si>
    <t>0 days 00:14:00</t>
  </si>
  <si>
    <t>2026-02-08 20:03:00-05:00</t>
  </si>
  <si>
    <t>2026-02-08 20:04:00-05:00</t>
  </si>
  <si>
    <t>2026-02-08 20:09:00-05:00</t>
  </si>
  <si>
    <t>2026-02-08 20:14:00-05:00</t>
  </si>
  <si>
    <t>2026-02-08 20:32:00-05:00</t>
  </si>
  <si>
    <t>2026-02-08 20:35:00-05:00</t>
  </si>
  <si>
    <t>2026-02-08 20:51:00-05:00</t>
  </si>
  <si>
    <t>2026-02-08 20:54:00-05:00</t>
  </si>
  <si>
    <t>2026-02-08 20:58:00-05:00</t>
  </si>
  <si>
    <t>2026-02-08 21:08:00-05:00</t>
  </si>
  <si>
    <t>2026-02-08 21:10:00-05:00</t>
  </si>
  <si>
    <t>2026-02-08 21:12:00-05:00</t>
  </si>
  <si>
    <t>2026-02-08 21:31:00-05:00</t>
  </si>
  <si>
    <t>2026-02-08 21:58:00-05:00</t>
  </si>
  <si>
    <t>0 days 00:27:00</t>
  </si>
  <si>
    <t>2026-02-08 22:01:00-05:00</t>
  </si>
  <si>
    <t>2026-02-08 22:30:00-05:00</t>
  </si>
  <si>
    <t>0 days 00:29:00</t>
  </si>
  <si>
    <t>2026-02-08 22:42:00-05:00</t>
  </si>
  <si>
    <t>2026-02-08 22:59:00-05:00</t>
  </si>
  <si>
    <t>0 days 00:17:00</t>
  </si>
  <si>
    <t>2026-02-09 00:01:00-05:00</t>
  </si>
  <si>
    <t>2026-02-09 00:21:00-05:00</t>
  </si>
  <si>
    <t>2026-02-09 00:35:00-05:00</t>
  </si>
  <si>
    <t>2026-02-09 00:40:00-05:00</t>
  </si>
  <si>
    <t>0 days 00:18:00</t>
  </si>
  <si>
    <t>Trend Invalidation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</si>
</sst>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\-/d/mm\ h:mm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27" formatCode="m/d/yy\ h:mm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1925D0-B029-344D-9D93-A49F7E0010C7}" autoFormatId="16" applyNumberFormats="0" applyBorderFormats="0" applyFontFormats="0" applyPatternFormats="0" applyAlignmentFormats="0" applyWidthHeightFormats="0">
  <queryTableRefresh nextId="12">
    <queryTableFields count="11">
      <queryTableField id="1" name="Trade_Date" tableColumnId="1"/>
      <queryTableField id="2" name="Entry_Time" tableColumnId="2"/>
      <queryTableField id="3" name="Exit_Time" tableColumnId="3"/>
      <queryTableField id="4" name="Session" tableColumnId="4"/>
      <queryTableField id="5" name="Strategy" tableColumnId="5"/>
      <queryTableField id="6" name="Type" tableColumnId="6"/>
      <queryTableField id="7" name="Entry_Price" tableColumnId="7"/>
      <queryTableField id="8" name="Exit_Price" tableColumnId="8"/>
      <queryTableField id="9" name="PnL_pts" tableColumnId="9"/>
      <queryTableField id="10" name="Duration" tableColumnId="10"/>
      <queryTableField id="11" name="Exit_Rea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68366-5853-824E-AC53-1A89CE993700}" name="trades_NQF" displayName="trades_NQF" ref="A1:K92" tableType="queryTable" totalsRowShown="0">
  <autoFilter ref="A1:K92" xr:uid="{4DC68366-5853-824E-AC53-1A89CE993700}"/>
  <sortState xmlns:xlrd2="http://schemas.microsoft.com/office/spreadsheetml/2017/richdata2" ref="A2:K92">
    <sortCondition ref="A1:A92"/>
  </sortState>
  <tableColumns count="11">
    <tableColumn id="1" xr3:uid="{671B7249-DCC1-9A44-83F7-74ADDEE05C10}" uniqueName="1" name="Trade_Date" queryTableFieldId="1" dataDxfId="7"/>
    <tableColumn id="2" xr3:uid="{24094EE2-8316-0E4E-9D62-5E33BC6BCD05}" uniqueName="2" name="Entry_Time" queryTableFieldId="2" dataDxfId="6"/>
    <tableColumn id="3" xr3:uid="{A936B3A9-8B13-BF46-A431-E0965AEF84B9}" uniqueName="3" name="Exit_Time" queryTableFieldId="3" dataDxfId="5"/>
    <tableColumn id="4" xr3:uid="{51605AB8-BB2F-DC4A-8504-72BA07133AC7}" uniqueName="4" name="Session" queryTableFieldId="4" dataDxfId="4"/>
    <tableColumn id="5" xr3:uid="{3D2686A5-39CD-294B-8EC9-F462A3F6E3EE}" uniqueName="5" name="Strategy" queryTableFieldId="5" dataDxfId="3"/>
    <tableColumn id="6" xr3:uid="{F910FA5C-E2DA-1842-A7B7-7E4CF7D52AD4}" uniqueName="6" name="Type" queryTableFieldId="6" dataDxfId="2"/>
    <tableColumn id="7" xr3:uid="{872EE9CC-4D20-8F42-9D56-D3A77AF9D16B}" uniqueName="7" name="Entry_Price" queryTableFieldId="7"/>
    <tableColumn id="8" xr3:uid="{79558BFA-EED1-C844-BC93-B5937426C3E2}" uniqueName="8" name="Exit_Price" queryTableFieldId="8"/>
    <tableColumn id="9" xr3:uid="{C062E3DE-412A-724E-9257-CF5FC352D90B}" uniqueName="9" name="PnL_pts" queryTableFieldId="9"/>
    <tableColumn id="10" xr3:uid="{39DF780D-D3A1-3144-B886-845E648403A0}" uniqueName="10" name="Duration" queryTableFieldId="10" dataDxfId="1"/>
    <tableColumn id="11" xr3:uid="{A0C91EBE-3113-804D-B1D9-07B51873D0DC}" uniqueName="11" name="Exit_Reas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CF94-DF10-FE47-A0D0-4C5D01E088A4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8031-5635-FA4D-B589-E55F315C80FC}">
  <dimension ref="A1:M92"/>
  <sheetViews>
    <sheetView tabSelected="1" workbookViewId="0">
      <selection activeCell="J30" sqref="J30"/>
    </sheetView>
  </sheetViews>
  <sheetFormatPr baseColWidth="10" defaultRowHeight="16" x14ac:dyDescent="0.2"/>
  <cols>
    <col min="1" max="1" width="13" bestFit="1" customWidth="1"/>
    <col min="2" max="2" width="12.6640625" bestFit="1" customWidth="1"/>
    <col min="3" max="3" width="11.5" bestFit="1" customWidth="1"/>
    <col min="4" max="4" width="10.1640625" bestFit="1" customWidth="1"/>
    <col min="5" max="5" width="10.5" bestFit="1" customWidth="1"/>
    <col min="6" max="6" width="7.33203125" bestFit="1" customWidth="1"/>
    <col min="7" max="7" width="13" bestFit="1" customWidth="1"/>
    <col min="8" max="8" width="11.83203125" bestFit="1" customWidth="1"/>
    <col min="9" max="9" width="10.33203125" bestFit="1" customWidth="1"/>
    <col min="10" max="10" width="13.5" bestFit="1" customWidth="1"/>
    <col min="11" max="11" width="15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">
      <c r="A2" s="1">
        <v>46054</v>
      </c>
      <c r="B2" s="4">
        <v>46055.029166666667</v>
      </c>
      <c r="C2" s="4">
        <v>46055.030555555553</v>
      </c>
      <c r="D2" s="3" t="s">
        <v>22</v>
      </c>
      <c r="E2" s="3" t="s">
        <v>11</v>
      </c>
      <c r="F2" s="3" t="s">
        <v>17</v>
      </c>
      <c r="G2">
        <v>25273.75</v>
      </c>
      <c r="H2">
        <v>25254</v>
      </c>
      <c r="I2">
        <v>-19.75</v>
      </c>
      <c r="J2" s="3" t="s">
        <v>15</v>
      </c>
      <c r="K2" s="3" t="s">
        <v>72</v>
      </c>
      <c r="M2">
        <f>IF(trades_NQF[[#This Row],[PnL_pts]]&gt;0,trades_NQF[[#This Row],[PnL_pts]],0)</f>
        <v>0</v>
      </c>
    </row>
    <row r="3" spans="1:13" x14ac:dyDescent="0.2">
      <c r="A3" s="1">
        <v>46054</v>
      </c>
      <c r="B3" s="4">
        <v>46055.034722222219</v>
      </c>
      <c r="C3" s="4">
        <v>46055.035416666666</v>
      </c>
      <c r="D3" s="3" t="s">
        <v>22</v>
      </c>
      <c r="E3" s="3" t="s">
        <v>11</v>
      </c>
      <c r="F3" s="3" t="s">
        <v>17</v>
      </c>
      <c r="G3">
        <v>25282.75</v>
      </c>
      <c r="H3">
        <v>25269.25</v>
      </c>
      <c r="I3">
        <v>-13.5</v>
      </c>
      <c r="J3" s="3" t="s">
        <v>13</v>
      </c>
      <c r="K3" s="3" t="s">
        <v>72</v>
      </c>
      <c r="M3">
        <f>IF(trades_NQF[[#This Row],[PnL_pts]]&gt;0,trades_NQF[[#This Row],[PnL_pts]],0)</f>
        <v>0</v>
      </c>
    </row>
    <row r="4" spans="1:13" x14ac:dyDescent="0.2">
      <c r="A4" s="1">
        <v>46054</v>
      </c>
      <c r="B4" s="4">
        <v>46055.084027777775</v>
      </c>
      <c r="C4" s="4">
        <v>46055.084722222222</v>
      </c>
      <c r="D4" s="3" t="s">
        <v>22</v>
      </c>
      <c r="E4" s="3" t="s">
        <v>11</v>
      </c>
      <c r="F4" s="3" t="s">
        <v>17</v>
      </c>
      <c r="G4">
        <v>25263.5</v>
      </c>
      <c r="H4">
        <v>25244.5</v>
      </c>
      <c r="I4">
        <v>-19</v>
      </c>
      <c r="J4" s="3" t="s">
        <v>13</v>
      </c>
      <c r="K4" s="3" t="s">
        <v>72</v>
      </c>
      <c r="M4">
        <f>IF(trades_NQF[[#This Row],[PnL_pts]]&gt;0,trades_NQF[[#This Row],[PnL_pts]],0)</f>
        <v>0</v>
      </c>
    </row>
    <row r="5" spans="1:13" x14ac:dyDescent="0.2">
      <c r="A5" s="1">
        <v>46054</v>
      </c>
      <c r="B5" s="4">
        <v>46055.094444444447</v>
      </c>
      <c r="C5" s="4">
        <v>46055.095833333333</v>
      </c>
      <c r="D5" s="3" t="s">
        <v>22</v>
      </c>
      <c r="E5" s="3" t="s">
        <v>11</v>
      </c>
      <c r="F5" s="3" t="s">
        <v>12</v>
      </c>
      <c r="G5">
        <v>25267</v>
      </c>
      <c r="H5">
        <v>25272.5</v>
      </c>
      <c r="I5">
        <v>-5.5</v>
      </c>
      <c r="J5" s="3" t="s">
        <v>15</v>
      </c>
      <c r="K5" s="3" t="s">
        <v>72</v>
      </c>
      <c r="M5">
        <f>IF(trades_NQF[[#This Row],[PnL_pts]]&gt;0,trades_NQF[[#This Row],[PnL_pts]],0)</f>
        <v>0</v>
      </c>
    </row>
    <row r="6" spans="1:13" x14ac:dyDescent="0.2">
      <c r="A6" s="1">
        <v>46054</v>
      </c>
      <c r="B6" s="4">
        <v>46055.107638888891</v>
      </c>
      <c r="C6" s="4">
        <v>46055.10833333333</v>
      </c>
      <c r="D6" s="3" t="s">
        <v>22</v>
      </c>
      <c r="E6" s="3" t="s">
        <v>11</v>
      </c>
      <c r="F6" s="3" t="s">
        <v>12</v>
      </c>
      <c r="G6">
        <v>25277.5</v>
      </c>
      <c r="H6">
        <v>25283.75</v>
      </c>
      <c r="I6">
        <v>-6.25</v>
      </c>
      <c r="J6" s="3" t="s">
        <v>13</v>
      </c>
      <c r="K6" s="3" t="s">
        <v>72</v>
      </c>
      <c r="M6">
        <f>IF(trades_NQF[[#This Row],[PnL_pts]]&gt;0,trades_NQF[[#This Row],[PnL_pts]],0)</f>
        <v>0</v>
      </c>
    </row>
    <row r="7" spans="1:13" x14ac:dyDescent="0.2">
      <c r="A7" s="1">
        <v>46054</v>
      </c>
      <c r="B7" s="4">
        <v>46055.25277777778</v>
      </c>
      <c r="C7" s="4">
        <v>46055.261111111111</v>
      </c>
      <c r="D7" s="3" t="s">
        <v>31</v>
      </c>
      <c r="E7" s="3" t="s">
        <v>11</v>
      </c>
      <c r="F7" s="3" t="s">
        <v>17</v>
      </c>
      <c r="G7">
        <v>25405.5</v>
      </c>
      <c r="H7">
        <v>25429.25</v>
      </c>
      <c r="I7">
        <v>23.75</v>
      </c>
      <c r="J7" s="3" t="s">
        <v>20</v>
      </c>
      <c r="K7" s="3" t="s">
        <v>72</v>
      </c>
      <c r="M7">
        <f>IF(trades_NQF[[#This Row],[PnL_pts]]&gt;0,trades_NQF[[#This Row],[PnL_pts]],0)</f>
        <v>23.75</v>
      </c>
    </row>
    <row r="8" spans="1:13" x14ac:dyDescent="0.2">
      <c r="A8" s="1">
        <v>46054</v>
      </c>
      <c r="B8" s="4">
        <v>46055.291666666664</v>
      </c>
      <c r="C8" s="4">
        <v>46055.298611111109</v>
      </c>
      <c r="D8" s="3" t="s">
        <v>31</v>
      </c>
      <c r="E8" s="3" t="s">
        <v>11</v>
      </c>
      <c r="F8" s="3" t="s">
        <v>17</v>
      </c>
      <c r="G8">
        <v>25461.25</v>
      </c>
      <c r="H8">
        <v>25466.25</v>
      </c>
      <c r="I8">
        <v>5</v>
      </c>
      <c r="J8" s="3" t="s">
        <v>33</v>
      </c>
      <c r="K8" s="3" t="s">
        <v>72</v>
      </c>
      <c r="M8">
        <f>IF(trades_NQF[[#This Row],[PnL_pts]]&gt;0,trades_NQF[[#This Row],[PnL_pts]],0)</f>
        <v>5</v>
      </c>
    </row>
    <row r="9" spans="1:13" x14ac:dyDescent="0.2">
      <c r="A9" s="1">
        <v>46055</v>
      </c>
      <c r="B9" s="4">
        <v>46055.799305555556</v>
      </c>
      <c r="C9" s="4">
        <v>46055.8</v>
      </c>
      <c r="D9" s="3" t="s">
        <v>22</v>
      </c>
      <c r="E9" s="3" t="s">
        <v>11</v>
      </c>
      <c r="F9" s="3" t="s">
        <v>12</v>
      </c>
      <c r="G9">
        <v>25927</v>
      </c>
      <c r="H9">
        <v>25933.75</v>
      </c>
      <c r="I9">
        <v>-6.75</v>
      </c>
      <c r="J9" s="3" t="s">
        <v>13</v>
      </c>
      <c r="K9" s="3" t="s">
        <v>72</v>
      </c>
      <c r="M9">
        <f>IF(trades_NQF[[#This Row],[PnL_pts]]&gt;0,trades_NQF[[#This Row],[PnL_pts]],0)</f>
        <v>0</v>
      </c>
    </row>
    <row r="10" spans="1:13" x14ac:dyDescent="0.2">
      <c r="A10" s="1">
        <v>46055</v>
      </c>
      <c r="B10" s="4">
        <v>46055.833333333336</v>
      </c>
      <c r="C10" s="4">
        <v>46055.84097222222</v>
      </c>
      <c r="D10" s="3" t="s">
        <v>22</v>
      </c>
      <c r="E10" s="3" t="s">
        <v>11</v>
      </c>
      <c r="F10" s="3" t="s">
        <v>17</v>
      </c>
      <c r="G10">
        <v>25959.5</v>
      </c>
      <c r="H10">
        <v>25981.25</v>
      </c>
      <c r="I10">
        <v>21.75</v>
      </c>
      <c r="J10" s="3" t="s">
        <v>26</v>
      </c>
      <c r="K10" s="3" t="s">
        <v>23</v>
      </c>
      <c r="M10">
        <f>IF(trades_NQF[[#This Row],[PnL_pts]]&gt;0,trades_NQF[[#This Row],[PnL_pts]],0)</f>
        <v>21.75</v>
      </c>
    </row>
    <row r="11" spans="1:13" x14ac:dyDescent="0.2">
      <c r="A11" s="1">
        <v>46055</v>
      </c>
      <c r="B11" s="4">
        <v>46055.868055555555</v>
      </c>
      <c r="C11" s="4">
        <v>46055.868750000001</v>
      </c>
      <c r="D11" s="3" t="s">
        <v>22</v>
      </c>
      <c r="E11" s="3" t="s">
        <v>11</v>
      </c>
      <c r="F11" s="3" t="s">
        <v>12</v>
      </c>
      <c r="G11">
        <v>25950.25</v>
      </c>
      <c r="H11">
        <v>25952.75</v>
      </c>
      <c r="I11">
        <v>-2.5</v>
      </c>
      <c r="J11" s="3" t="s">
        <v>13</v>
      </c>
      <c r="K11" s="3" t="s">
        <v>72</v>
      </c>
      <c r="M11">
        <f>IF(trades_NQF[[#This Row],[PnL_pts]]&gt;0,trades_NQF[[#This Row],[PnL_pts]],0)</f>
        <v>0</v>
      </c>
    </row>
    <row r="12" spans="1:13" x14ac:dyDescent="0.2">
      <c r="A12" s="1">
        <v>46055</v>
      </c>
      <c r="B12" s="4">
        <v>46055.872916666667</v>
      </c>
      <c r="C12" s="4">
        <v>46055.875694444447</v>
      </c>
      <c r="D12" s="3" t="s">
        <v>22</v>
      </c>
      <c r="E12" s="3" t="s">
        <v>11</v>
      </c>
      <c r="F12" s="3" t="s">
        <v>17</v>
      </c>
      <c r="G12">
        <v>25956.25</v>
      </c>
      <c r="H12">
        <v>25953.25</v>
      </c>
      <c r="I12">
        <v>-3</v>
      </c>
      <c r="J12" s="3" t="s">
        <v>18</v>
      </c>
      <c r="K12" s="3" t="s">
        <v>72</v>
      </c>
      <c r="M12">
        <f>IF(trades_NQF[[#This Row],[PnL_pts]]&gt;0,trades_NQF[[#This Row],[PnL_pts]],0)</f>
        <v>0</v>
      </c>
    </row>
    <row r="13" spans="1:13" x14ac:dyDescent="0.2">
      <c r="A13" s="1">
        <v>46055</v>
      </c>
      <c r="B13" s="4">
        <v>46055.876388888886</v>
      </c>
      <c r="C13" s="4">
        <v>46055.881944444445</v>
      </c>
      <c r="D13" s="3" t="s">
        <v>22</v>
      </c>
      <c r="E13" s="3" t="s">
        <v>11</v>
      </c>
      <c r="F13" s="3" t="s">
        <v>12</v>
      </c>
      <c r="G13">
        <v>25946.25</v>
      </c>
      <c r="H13">
        <v>25927.25</v>
      </c>
      <c r="I13">
        <v>19</v>
      </c>
      <c r="J13" s="3" t="s">
        <v>21</v>
      </c>
      <c r="K13" s="3" t="s">
        <v>14</v>
      </c>
      <c r="M13">
        <f>IF(trades_NQF[[#This Row],[PnL_pts]]&gt;0,trades_NQF[[#This Row],[PnL_pts]],0)</f>
        <v>19</v>
      </c>
    </row>
    <row r="14" spans="1:13" x14ac:dyDescent="0.2">
      <c r="A14" s="1">
        <v>46055</v>
      </c>
      <c r="B14" s="4">
        <v>46055.92083333333</v>
      </c>
      <c r="C14" s="4">
        <v>46055.925000000003</v>
      </c>
      <c r="D14" s="3" t="s">
        <v>22</v>
      </c>
      <c r="E14" s="3" t="s">
        <v>11</v>
      </c>
      <c r="F14" s="3" t="s">
        <v>17</v>
      </c>
      <c r="G14">
        <v>25941</v>
      </c>
      <c r="H14">
        <v>25937</v>
      </c>
      <c r="I14">
        <v>-4</v>
      </c>
      <c r="J14" s="3" t="s">
        <v>28</v>
      </c>
      <c r="K14" s="3" t="s">
        <v>72</v>
      </c>
      <c r="M14">
        <f>IF(trades_NQF[[#This Row],[PnL_pts]]&gt;0,trades_NQF[[#This Row],[PnL_pts]],0)</f>
        <v>0</v>
      </c>
    </row>
    <row r="15" spans="1:13" x14ac:dyDescent="0.2">
      <c r="A15" s="1">
        <v>46055</v>
      </c>
      <c r="B15" s="4">
        <v>46055.931250000001</v>
      </c>
      <c r="C15" s="4">
        <v>46055.936805555553</v>
      </c>
      <c r="D15" s="3" t="s">
        <v>22</v>
      </c>
      <c r="E15" s="3" t="s">
        <v>11</v>
      </c>
      <c r="F15" s="3" t="s">
        <v>17</v>
      </c>
      <c r="G15">
        <v>25937.75</v>
      </c>
      <c r="H15">
        <v>25939.25</v>
      </c>
      <c r="I15">
        <v>1.5</v>
      </c>
      <c r="J15" s="3" t="s">
        <v>21</v>
      </c>
      <c r="K15" s="3" t="s">
        <v>72</v>
      </c>
      <c r="M15">
        <f>IF(trades_NQF[[#This Row],[PnL_pts]]&gt;0,trades_NQF[[#This Row],[PnL_pts]],0)</f>
        <v>1.5</v>
      </c>
    </row>
    <row r="16" spans="1:13" x14ac:dyDescent="0.2">
      <c r="A16" s="1">
        <v>46055</v>
      </c>
      <c r="B16" s="4">
        <v>46056.161805555559</v>
      </c>
      <c r="C16" s="4">
        <v>46056.162499999999</v>
      </c>
      <c r="D16" s="3" t="s">
        <v>31</v>
      </c>
      <c r="E16" s="3" t="s">
        <v>11</v>
      </c>
      <c r="F16" s="3" t="s">
        <v>12</v>
      </c>
      <c r="G16">
        <v>25973</v>
      </c>
      <c r="H16">
        <v>25975.75</v>
      </c>
      <c r="I16">
        <v>-2.75</v>
      </c>
      <c r="J16" s="3" t="s">
        <v>13</v>
      </c>
      <c r="K16" s="3" t="s">
        <v>72</v>
      </c>
      <c r="M16">
        <f>IF(trades_NQF[[#This Row],[PnL_pts]]&gt;0,trades_NQF[[#This Row],[PnL_pts]],0)</f>
        <v>0</v>
      </c>
    </row>
    <row r="17" spans="1:13" x14ac:dyDescent="0.2">
      <c r="A17" s="1">
        <v>46055</v>
      </c>
      <c r="B17" s="4">
        <v>46056.163194444445</v>
      </c>
      <c r="C17" s="4">
        <v>46056.163888888892</v>
      </c>
      <c r="D17" s="3" t="s">
        <v>31</v>
      </c>
      <c r="E17" s="3" t="s">
        <v>11</v>
      </c>
      <c r="F17" s="3" t="s">
        <v>12</v>
      </c>
      <c r="G17">
        <v>25971.5</v>
      </c>
      <c r="H17">
        <v>25979</v>
      </c>
      <c r="I17">
        <v>-7.5</v>
      </c>
      <c r="J17" s="3" t="s">
        <v>13</v>
      </c>
      <c r="K17" s="3" t="s">
        <v>72</v>
      </c>
      <c r="M17">
        <f>IF(trades_NQF[[#This Row],[PnL_pts]]&gt;0,trades_NQF[[#This Row],[PnL_pts]],0)</f>
        <v>0</v>
      </c>
    </row>
    <row r="18" spans="1:13" x14ac:dyDescent="0.2">
      <c r="A18" s="1">
        <v>46055</v>
      </c>
      <c r="B18" s="4">
        <v>46056.177777777775</v>
      </c>
      <c r="C18" s="4">
        <v>46056.181944444441</v>
      </c>
      <c r="D18" s="3" t="s">
        <v>31</v>
      </c>
      <c r="E18" s="3" t="s">
        <v>11</v>
      </c>
      <c r="F18" s="3" t="s">
        <v>17</v>
      </c>
      <c r="G18">
        <v>25987</v>
      </c>
      <c r="H18">
        <v>25980.25</v>
      </c>
      <c r="I18">
        <v>-6.75</v>
      </c>
      <c r="J18" s="3" t="s">
        <v>28</v>
      </c>
      <c r="K18" s="3" t="s">
        <v>72</v>
      </c>
      <c r="M18">
        <f>IF(trades_NQF[[#This Row],[PnL_pts]]&gt;0,trades_NQF[[#This Row],[PnL_pts]],0)</f>
        <v>0</v>
      </c>
    </row>
    <row r="19" spans="1:13" x14ac:dyDescent="0.2">
      <c r="A19" s="1">
        <v>46055</v>
      </c>
      <c r="B19" s="4">
        <v>46056.182638888888</v>
      </c>
      <c r="C19" s="4">
        <v>46056.188194444447</v>
      </c>
      <c r="D19" s="3" t="s">
        <v>31</v>
      </c>
      <c r="E19" s="3" t="s">
        <v>11</v>
      </c>
      <c r="F19" s="3" t="s">
        <v>12</v>
      </c>
      <c r="G19">
        <v>25969.75</v>
      </c>
      <c r="H19">
        <v>25971.25</v>
      </c>
      <c r="I19">
        <v>-1.5</v>
      </c>
      <c r="J19" s="3" t="s">
        <v>21</v>
      </c>
      <c r="K19" s="3" t="s">
        <v>72</v>
      </c>
      <c r="M19">
        <f>IF(trades_NQF[[#This Row],[PnL_pts]]&gt;0,trades_NQF[[#This Row],[PnL_pts]],0)</f>
        <v>0</v>
      </c>
    </row>
    <row r="20" spans="1:13" x14ac:dyDescent="0.2">
      <c r="A20" s="1">
        <v>46055</v>
      </c>
      <c r="B20" s="4">
        <v>46056.188888888886</v>
      </c>
      <c r="C20" s="4">
        <v>46056.190972222219</v>
      </c>
      <c r="D20" s="3" t="s">
        <v>31</v>
      </c>
      <c r="E20" s="3" t="s">
        <v>11</v>
      </c>
      <c r="F20" s="3" t="s">
        <v>17</v>
      </c>
      <c r="G20">
        <v>25975.75</v>
      </c>
      <c r="H20">
        <v>25970</v>
      </c>
      <c r="I20">
        <v>-5.75</v>
      </c>
      <c r="J20" s="3" t="s">
        <v>32</v>
      </c>
      <c r="K20" s="3" t="s">
        <v>72</v>
      </c>
      <c r="M20">
        <f>IF(trades_NQF[[#This Row],[PnL_pts]]&gt;0,trades_NQF[[#This Row],[PnL_pts]],0)</f>
        <v>0</v>
      </c>
    </row>
    <row r="21" spans="1:13" x14ac:dyDescent="0.2">
      <c r="A21" s="1">
        <v>46055</v>
      </c>
      <c r="B21" s="4">
        <v>46056.201388888891</v>
      </c>
      <c r="C21" s="4">
        <v>46056.20416666667</v>
      </c>
      <c r="D21" s="3" t="s">
        <v>31</v>
      </c>
      <c r="E21" s="3" t="s">
        <v>11</v>
      </c>
      <c r="F21" s="3" t="s">
        <v>17</v>
      </c>
      <c r="G21">
        <v>25974.5</v>
      </c>
      <c r="H21">
        <v>25967</v>
      </c>
      <c r="I21">
        <v>-7.5</v>
      </c>
      <c r="J21" s="3" t="s">
        <v>18</v>
      </c>
      <c r="K21" s="3" t="s">
        <v>72</v>
      </c>
      <c r="M21">
        <f>IF(trades_NQF[[#This Row],[PnL_pts]]&gt;0,trades_NQF[[#This Row],[PnL_pts]],0)</f>
        <v>0</v>
      </c>
    </row>
    <row r="22" spans="1:13" x14ac:dyDescent="0.2">
      <c r="A22" s="1">
        <v>46055</v>
      </c>
      <c r="B22" s="4">
        <v>46056.209722222222</v>
      </c>
      <c r="C22" s="4">
        <v>46056.215277777781</v>
      </c>
      <c r="D22" s="3" t="s">
        <v>31</v>
      </c>
      <c r="E22" s="3" t="s">
        <v>11</v>
      </c>
      <c r="F22" s="3" t="s">
        <v>17</v>
      </c>
      <c r="G22">
        <v>25976.5</v>
      </c>
      <c r="H22">
        <v>25980.5</v>
      </c>
      <c r="I22">
        <v>4</v>
      </c>
      <c r="J22" s="3" t="s">
        <v>21</v>
      </c>
      <c r="K22" s="3" t="s">
        <v>72</v>
      </c>
      <c r="M22">
        <f>IF(trades_NQF[[#This Row],[PnL_pts]]&gt;0,trades_NQF[[#This Row],[PnL_pts]],0)</f>
        <v>4</v>
      </c>
    </row>
    <row r="23" spans="1:13" x14ac:dyDescent="0.2">
      <c r="A23" s="1">
        <v>46055</v>
      </c>
      <c r="B23" s="4">
        <v>46056.223611111112</v>
      </c>
      <c r="C23" s="4">
        <v>46056.224305555559</v>
      </c>
      <c r="D23" s="3" t="s">
        <v>31</v>
      </c>
      <c r="E23" s="3" t="s">
        <v>11</v>
      </c>
      <c r="F23" s="3" t="s">
        <v>12</v>
      </c>
      <c r="G23">
        <v>25971</v>
      </c>
      <c r="H23">
        <v>25975</v>
      </c>
      <c r="I23">
        <v>-4</v>
      </c>
      <c r="J23" s="3" t="s">
        <v>13</v>
      </c>
      <c r="K23" s="3" t="s">
        <v>72</v>
      </c>
      <c r="M23">
        <f>IF(trades_NQF[[#This Row],[PnL_pts]]&gt;0,trades_NQF[[#This Row],[PnL_pts]],0)</f>
        <v>0</v>
      </c>
    </row>
    <row r="24" spans="1:13" x14ac:dyDescent="0.2">
      <c r="A24" s="1">
        <v>46055</v>
      </c>
      <c r="B24" s="4">
        <v>46056.224999999999</v>
      </c>
      <c r="C24" s="4">
        <v>46056.228472222225</v>
      </c>
      <c r="D24" s="3" t="s">
        <v>31</v>
      </c>
      <c r="E24" s="3" t="s">
        <v>11</v>
      </c>
      <c r="F24" s="3" t="s">
        <v>12</v>
      </c>
      <c r="G24">
        <v>25971</v>
      </c>
      <c r="H24">
        <v>25971.75</v>
      </c>
      <c r="I24">
        <v>-0.75</v>
      </c>
      <c r="J24" s="3" t="s">
        <v>24</v>
      </c>
      <c r="K24" s="3" t="s">
        <v>72</v>
      </c>
      <c r="M24">
        <f>IF(trades_NQF[[#This Row],[PnL_pts]]&gt;0,trades_NQF[[#This Row],[PnL_pts]],0)</f>
        <v>0</v>
      </c>
    </row>
    <row r="25" spans="1:13" x14ac:dyDescent="0.2">
      <c r="A25" s="1">
        <v>46055</v>
      </c>
      <c r="B25" s="4">
        <v>46056.299305555556</v>
      </c>
      <c r="C25" s="4">
        <v>46056.303472222222</v>
      </c>
      <c r="D25" s="3" t="s">
        <v>31</v>
      </c>
      <c r="E25" s="3" t="s">
        <v>11</v>
      </c>
      <c r="F25" s="3" t="s">
        <v>17</v>
      </c>
      <c r="G25">
        <v>25960.75</v>
      </c>
      <c r="H25">
        <v>25961.5</v>
      </c>
      <c r="I25">
        <v>0.75</v>
      </c>
      <c r="J25" s="3" t="s">
        <v>28</v>
      </c>
      <c r="K25" s="3" t="s">
        <v>72</v>
      </c>
      <c r="M25">
        <f>IF(trades_NQF[[#This Row],[PnL_pts]]&gt;0,trades_NQF[[#This Row],[PnL_pts]],0)</f>
        <v>0.75</v>
      </c>
    </row>
    <row r="26" spans="1:13" x14ac:dyDescent="0.2">
      <c r="A26" s="1">
        <v>46055</v>
      </c>
      <c r="B26" s="4">
        <v>46056.304861111108</v>
      </c>
      <c r="C26" s="4">
        <v>46056.306944444441</v>
      </c>
      <c r="D26" s="3" t="s">
        <v>31</v>
      </c>
      <c r="E26" s="3" t="s">
        <v>11</v>
      </c>
      <c r="F26" s="3" t="s">
        <v>17</v>
      </c>
      <c r="G26">
        <v>25975</v>
      </c>
      <c r="H26">
        <v>25973</v>
      </c>
      <c r="I26">
        <v>-2</v>
      </c>
      <c r="J26" s="3" t="s">
        <v>32</v>
      </c>
      <c r="K26" s="3" t="s">
        <v>72</v>
      </c>
      <c r="M26">
        <f>IF(trades_NQF[[#This Row],[PnL_pts]]&gt;0,trades_NQF[[#This Row],[PnL_pts]],0)</f>
        <v>0</v>
      </c>
    </row>
    <row r="27" spans="1:13" x14ac:dyDescent="0.2">
      <c r="A27" s="1">
        <v>46055</v>
      </c>
      <c r="B27" s="4">
        <v>46056.30972222222</v>
      </c>
      <c r="C27" s="4">
        <v>46056.315972222219</v>
      </c>
      <c r="D27" s="3" t="s">
        <v>31</v>
      </c>
      <c r="E27" s="3" t="s">
        <v>11</v>
      </c>
      <c r="F27" s="3" t="s">
        <v>17</v>
      </c>
      <c r="G27">
        <v>25977.5</v>
      </c>
      <c r="H27">
        <v>25986.75</v>
      </c>
      <c r="I27">
        <v>9.25</v>
      </c>
      <c r="J27" s="3" t="s">
        <v>29</v>
      </c>
      <c r="K27" s="3" t="s">
        <v>72</v>
      </c>
      <c r="M27">
        <f>IF(trades_NQF[[#This Row],[PnL_pts]]&gt;0,trades_NQF[[#This Row],[PnL_pts]],0)</f>
        <v>9.25</v>
      </c>
    </row>
    <row r="28" spans="1:13" x14ac:dyDescent="0.2">
      <c r="A28" s="1">
        <v>46055</v>
      </c>
      <c r="B28" s="4">
        <v>46056.363888888889</v>
      </c>
      <c r="C28" s="4">
        <v>46056.364583333336</v>
      </c>
      <c r="D28" s="3" t="s">
        <v>31</v>
      </c>
      <c r="E28" s="3" t="s">
        <v>11</v>
      </c>
      <c r="F28" s="3" t="s">
        <v>12</v>
      </c>
      <c r="G28">
        <v>25975.5</v>
      </c>
      <c r="H28">
        <v>25978.25</v>
      </c>
      <c r="I28">
        <v>-2.75</v>
      </c>
      <c r="J28" s="3" t="s">
        <v>13</v>
      </c>
      <c r="K28" s="3" t="s">
        <v>72</v>
      </c>
      <c r="M28">
        <f>IF(trades_NQF[[#This Row],[PnL_pts]]&gt;0,trades_NQF[[#This Row],[PnL_pts]],0)</f>
        <v>0</v>
      </c>
    </row>
    <row r="29" spans="1:13" x14ac:dyDescent="0.2">
      <c r="A29" s="1">
        <v>46055</v>
      </c>
      <c r="B29" s="4">
        <v>46056.368055555555</v>
      </c>
      <c r="C29" s="4">
        <v>46056.375694444447</v>
      </c>
      <c r="D29" s="3" t="s">
        <v>31</v>
      </c>
      <c r="E29" s="3" t="s">
        <v>11</v>
      </c>
      <c r="F29" s="3" t="s">
        <v>12</v>
      </c>
      <c r="G29">
        <v>25971.25</v>
      </c>
      <c r="H29">
        <v>25973.75</v>
      </c>
      <c r="I29">
        <v>-2.5</v>
      </c>
      <c r="J29" s="3" t="s">
        <v>26</v>
      </c>
      <c r="K29" s="3" t="s">
        <v>72</v>
      </c>
      <c r="M29">
        <f>IF(trades_NQF[[#This Row],[PnL_pts]]&gt;0,trades_NQF[[#This Row],[PnL_pts]],0)</f>
        <v>0</v>
      </c>
    </row>
    <row r="30" spans="1:13" x14ac:dyDescent="0.2">
      <c r="A30" s="1">
        <v>46056</v>
      </c>
      <c r="B30" s="4">
        <v>46056.830555555556</v>
      </c>
      <c r="C30" s="4">
        <v>46056.831944444442</v>
      </c>
      <c r="D30" s="3" t="s">
        <v>22</v>
      </c>
      <c r="E30" s="3" t="s">
        <v>11</v>
      </c>
      <c r="F30" s="3" t="s">
        <v>17</v>
      </c>
      <c r="G30">
        <v>25393</v>
      </c>
      <c r="H30">
        <v>25385.75</v>
      </c>
      <c r="I30">
        <v>-7.25</v>
      </c>
      <c r="J30" s="3" t="s">
        <v>15</v>
      </c>
      <c r="K30" s="3" t="s">
        <v>72</v>
      </c>
      <c r="M30">
        <f>IF(trades_NQF[[#This Row],[PnL_pts]]&gt;0,trades_NQF[[#This Row],[PnL_pts]],0)</f>
        <v>0</v>
      </c>
    </row>
    <row r="31" spans="1:13" x14ac:dyDescent="0.2">
      <c r="A31" s="1">
        <v>46056</v>
      </c>
      <c r="B31" s="4">
        <v>46056.833333333336</v>
      </c>
      <c r="C31" s="4">
        <v>46056.835416666669</v>
      </c>
      <c r="D31" s="3" t="s">
        <v>22</v>
      </c>
      <c r="E31" s="3" t="s">
        <v>11</v>
      </c>
      <c r="F31" s="3" t="s">
        <v>17</v>
      </c>
      <c r="G31">
        <v>25405.25</v>
      </c>
      <c r="H31">
        <v>25430</v>
      </c>
      <c r="I31">
        <v>24.75</v>
      </c>
      <c r="J31" s="3" t="s">
        <v>32</v>
      </c>
      <c r="K31" s="3" t="s">
        <v>23</v>
      </c>
      <c r="M31">
        <f>IF(trades_NQF[[#This Row],[PnL_pts]]&gt;0,trades_NQF[[#This Row],[PnL_pts]],0)</f>
        <v>24.75</v>
      </c>
    </row>
    <row r="32" spans="1:13" x14ac:dyDescent="0.2">
      <c r="A32" s="1">
        <v>46056</v>
      </c>
      <c r="B32" s="4">
        <v>46056.90347222222</v>
      </c>
      <c r="C32" s="4">
        <v>46056.904166666667</v>
      </c>
      <c r="D32" s="3" t="s">
        <v>22</v>
      </c>
      <c r="E32" s="3" t="s">
        <v>11</v>
      </c>
      <c r="F32" s="3" t="s">
        <v>12</v>
      </c>
      <c r="G32">
        <v>25408.75</v>
      </c>
      <c r="H32">
        <v>25419.5</v>
      </c>
      <c r="I32">
        <v>-10.75</v>
      </c>
      <c r="J32" s="3" t="s">
        <v>13</v>
      </c>
      <c r="K32" s="3" t="s">
        <v>72</v>
      </c>
      <c r="M32">
        <f>IF(trades_NQF[[#This Row],[PnL_pts]]&gt;0,trades_NQF[[#This Row],[PnL_pts]],0)</f>
        <v>0</v>
      </c>
    </row>
    <row r="33" spans="1:13" x14ac:dyDescent="0.2">
      <c r="A33" s="1">
        <v>46056</v>
      </c>
      <c r="B33" s="4">
        <v>46056.909722222219</v>
      </c>
      <c r="C33" s="4">
        <v>46056.912499999999</v>
      </c>
      <c r="D33" s="3" t="s">
        <v>22</v>
      </c>
      <c r="E33" s="3" t="s">
        <v>11</v>
      </c>
      <c r="F33" s="3" t="s">
        <v>12</v>
      </c>
      <c r="G33">
        <v>25414</v>
      </c>
      <c r="H33">
        <v>25416.25</v>
      </c>
      <c r="I33">
        <v>-2.25</v>
      </c>
      <c r="J33" s="3" t="s">
        <v>18</v>
      </c>
      <c r="K33" s="3" t="s">
        <v>72</v>
      </c>
      <c r="M33">
        <f>IF(trades_NQF[[#This Row],[PnL_pts]]&gt;0,trades_NQF[[#This Row],[PnL_pts]],0)</f>
        <v>0</v>
      </c>
    </row>
    <row r="34" spans="1:13" x14ac:dyDescent="0.2">
      <c r="A34" s="1">
        <v>46056</v>
      </c>
      <c r="B34" s="4">
        <v>46056.914583333331</v>
      </c>
      <c r="C34" s="4">
        <v>46056.915277777778</v>
      </c>
      <c r="D34" s="3" t="s">
        <v>22</v>
      </c>
      <c r="E34" s="3" t="s">
        <v>11</v>
      </c>
      <c r="F34" s="3" t="s">
        <v>17</v>
      </c>
      <c r="G34">
        <v>25416.5</v>
      </c>
      <c r="H34">
        <v>25408.25</v>
      </c>
      <c r="I34">
        <v>-8.25</v>
      </c>
      <c r="J34" s="3" t="s">
        <v>13</v>
      </c>
      <c r="K34" s="3" t="s">
        <v>72</v>
      </c>
      <c r="M34">
        <f>IF(trades_NQF[[#This Row],[PnL_pts]]&gt;0,trades_NQF[[#This Row],[PnL_pts]],0)</f>
        <v>0</v>
      </c>
    </row>
    <row r="35" spans="1:13" x14ac:dyDescent="0.2">
      <c r="A35" s="1">
        <v>46056</v>
      </c>
      <c r="B35" s="4">
        <v>46056.916666666664</v>
      </c>
      <c r="C35" s="4">
        <v>46056.917361111111</v>
      </c>
      <c r="D35" s="3" t="s">
        <v>22</v>
      </c>
      <c r="E35" s="3" t="s">
        <v>11</v>
      </c>
      <c r="F35" s="3" t="s">
        <v>17</v>
      </c>
      <c r="G35">
        <v>25419.25</v>
      </c>
      <c r="H35">
        <v>25409.5</v>
      </c>
      <c r="I35">
        <v>-9.75</v>
      </c>
      <c r="J35" s="3" t="s">
        <v>13</v>
      </c>
      <c r="K35" s="3" t="s">
        <v>72</v>
      </c>
      <c r="M35">
        <f>IF(trades_NQF[[#This Row],[PnL_pts]]&gt;0,trades_NQF[[#This Row],[PnL_pts]],0)</f>
        <v>0</v>
      </c>
    </row>
    <row r="36" spans="1:13" x14ac:dyDescent="0.2">
      <c r="A36" s="1">
        <v>46056</v>
      </c>
      <c r="B36" s="4">
        <v>46056.923611111109</v>
      </c>
      <c r="C36" s="4">
        <v>46056.927083333336</v>
      </c>
      <c r="D36" s="3" t="s">
        <v>22</v>
      </c>
      <c r="E36" s="3" t="s">
        <v>11</v>
      </c>
      <c r="F36" s="3" t="s">
        <v>17</v>
      </c>
      <c r="G36">
        <v>25418.75</v>
      </c>
      <c r="H36">
        <v>25418</v>
      </c>
      <c r="I36">
        <v>-0.75</v>
      </c>
      <c r="J36" s="3" t="s">
        <v>24</v>
      </c>
      <c r="K36" s="3" t="s">
        <v>72</v>
      </c>
      <c r="M36">
        <f>IF(trades_NQF[[#This Row],[PnL_pts]]&gt;0,trades_NQF[[#This Row],[PnL_pts]],0)</f>
        <v>0</v>
      </c>
    </row>
    <row r="37" spans="1:13" x14ac:dyDescent="0.2">
      <c r="A37" s="1">
        <v>46056</v>
      </c>
      <c r="B37" s="4">
        <v>46056.930555555555</v>
      </c>
      <c r="C37" s="4">
        <v>46056.931250000001</v>
      </c>
      <c r="D37" s="3" t="s">
        <v>22</v>
      </c>
      <c r="E37" s="3" t="s">
        <v>11</v>
      </c>
      <c r="F37" s="3" t="s">
        <v>12</v>
      </c>
      <c r="G37">
        <v>25409.25</v>
      </c>
      <c r="H37">
        <v>25421.75</v>
      </c>
      <c r="I37">
        <v>-12.5</v>
      </c>
      <c r="J37" s="3" t="s">
        <v>13</v>
      </c>
      <c r="K37" s="3" t="s">
        <v>72</v>
      </c>
      <c r="M37">
        <f>IF(trades_NQF[[#This Row],[PnL_pts]]&gt;0,trades_NQF[[#This Row],[PnL_pts]],0)</f>
        <v>0</v>
      </c>
    </row>
    <row r="38" spans="1:13" x14ac:dyDescent="0.2">
      <c r="A38" s="1">
        <v>46056</v>
      </c>
      <c r="B38" s="4">
        <v>46056.95</v>
      </c>
      <c r="C38" s="4">
        <v>46056.950694444444</v>
      </c>
      <c r="D38" s="3" t="s">
        <v>22</v>
      </c>
      <c r="E38" s="3" t="s">
        <v>11</v>
      </c>
      <c r="F38" s="3" t="s">
        <v>12</v>
      </c>
      <c r="G38">
        <v>25412.75</v>
      </c>
      <c r="H38">
        <v>25421.25</v>
      </c>
      <c r="I38">
        <v>-8.5</v>
      </c>
      <c r="J38" s="3" t="s">
        <v>13</v>
      </c>
      <c r="K38" s="3" t="s">
        <v>72</v>
      </c>
      <c r="M38">
        <f>IF(trades_NQF[[#This Row],[PnL_pts]]&gt;0,trades_NQF[[#This Row],[PnL_pts]],0)</f>
        <v>0</v>
      </c>
    </row>
    <row r="39" spans="1:13" x14ac:dyDescent="0.2">
      <c r="A39" s="1">
        <v>46056</v>
      </c>
      <c r="B39" s="4">
        <v>46056.952777777777</v>
      </c>
      <c r="C39" s="4">
        <v>46056.961111111108</v>
      </c>
      <c r="D39" s="3" t="s">
        <v>22</v>
      </c>
      <c r="E39" s="3" t="s">
        <v>11</v>
      </c>
      <c r="F39" s="3" t="s">
        <v>17</v>
      </c>
      <c r="G39">
        <v>25420.75</v>
      </c>
      <c r="H39">
        <v>25433</v>
      </c>
      <c r="I39">
        <v>12.25</v>
      </c>
      <c r="J39" s="3" t="s">
        <v>20</v>
      </c>
      <c r="K39" s="3" t="s">
        <v>72</v>
      </c>
      <c r="M39">
        <f>IF(trades_NQF[[#This Row],[PnL_pts]]&gt;0,trades_NQF[[#This Row],[PnL_pts]],0)</f>
        <v>12.25</v>
      </c>
    </row>
    <row r="40" spans="1:13" x14ac:dyDescent="0.2">
      <c r="A40" s="1">
        <v>46056</v>
      </c>
      <c r="B40" s="4">
        <v>46056.979166666664</v>
      </c>
      <c r="C40" s="4">
        <v>46056.986111111109</v>
      </c>
      <c r="D40" s="3" t="s">
        <v>22</v>
      </c>
      <c r="E40" s="3" t="s">
        <v>11</v>
      </c>
      <c r="F40" s="3" t="s">
        <v>17</v>
      </c>
      <c r="G40">
        <v>25426.75</v>
      </c>
      <c r="H40">
        <v>25442.75</v>
      </c>
      <c r="I40">
        <v>16</v>
      </c>
      <c r="J40" s="3" t="s">
        <v>33</v>
      </c>
      <c r="K40" s="3" t="s">
        <v>23</v>
      </c>
      <c r="M40">
        <f>IF(trades_NQF[[#This Row],[PnL_pts]]&gt;0,trades_NQF[[#This Row],[PnL_pts]],0)</f>
        <v>16</v>
      </c>
    </row>
    <row r="41" spans="1:13" x14ac:dyDescent="0.2">
      <c r="A41" s="1">
        <v>46056</v>
      </c>
      <c r="B41" s="4">
        <v>46057.007638888892</v>
      </c>
      <c r="C41" s="4">
        <v>46057.008333333331</v>
      </c>
      <c r="D41" s="3" t="s">
        <v>22</v>
      </c>
      <c r="E41" s="3" t="s">
        <v>11</v>
      </c>
      <c r="F41" s="3" t="s">
        <v>12</v>
      </c>
      <c r="G41">
        <v>25420.5</v>
      </c>
      <c r="H41">
        <v>25424</v>
      </c>
      <c r="I41">
        <v>-3.5</v>
      </c>
      <c r="J41" s="3" t="s">
        <v>13</v>
      </c>
      <c r="K41" s="3" t="s">
        <v>72</v>
      </c>
      <c r="M41">
        <f>IF(trades_NQF[[#This Row],[PnL_pts]]&gt;0,trades_NQF[[#This Row],[PnL_pts]],0)</f>
        <v>0</v>
      </c>
    </row>
    <row r="42" spans="1:13" x14ac:dyDescent="0.2">
      <c r="A42" s="1">
        <v>46056</v>
      </c>
      <c r="B42" s="4">
        <v>46057.009027777778</v>
      </c>
      <c r="C42" s="4">
        <v>46057.011111111111</v>
      </c>
      <c r="D42" s="3" t="s">
        <v>22</v>
      </c>
      <c r="E42" s="3" t="s">
        <v>11</v>
      </c>
      <c r="F42" s="3" t="s">
        <v>12</v>
      </c>
      <c r="G42">
        <v>25422.25</v>
      </c>
      <c r="H42">
        <v>25423</v>
      </c>
      <c r="I42">
        <v>-0.75</v>
      </c>
      <c r="J42" s="3" t="s">
        <v>32</v>
      </c>
      <c r="K42" s="3" t="s">
        <v>72</v>
      </c>
      <c r="M42">
        <f>IF(trades_NQF[[#This Row],[PnL_pts]]&gt;0,trades_NQF[[#This Row],[PnL_pts]],0)</f>
        <v>0</v>
      </c>
    </row>
    <row r="43" spans="1:13" x14ac:dyDescent="0.2">
      <c r="A43" s="1">
        <v>46056</v>
      </c>
      <c r="B43" s="4">
        <v>46057.021527777775</v>
      </c>
      <c r="C43" s="4">
        <v>46057.025694444441</v>
      </c>
      <c r="D43" s="3" t="s">
        <v>22</v>
      </c>
      <c r="E43" s="3" t="s">
        <v>11</v>
      </c>
      <c r="F43" s="3" t="s">
        <v>12</v>
      </c>
      <c r="G43">
        <v>25419.25</v>
      </c>
      <c r="H43">
        <v>25423.25</v>
      </c>
      <c r="I43">
        <v>-4</v>
      </c>
      <c r="J43" s="3" t="s">
        <v>28</v>
      </c>
      <c r="K43" s="3" t="s">
        <v>72</v>
      </c>
      <c r="M43">
        <f>IF(trades_NQF[[#This Row],[PnL_pts]]&gt;0,trades_NQF[[#This Row],[PnL_pts]],0)</f>
        <v>0</v>
      </c>
    </row>
    <row r="44" spans="1:13" x14ac:dyDescent="0.2">
      <c r="A44" s="1">
        <v>46056</v>
      </c>
      <c r="B44" s="4">
        <v>46057.143055555556</v>
      </c>
      <c r="C44" s="4">
        <v>46057.146527777775</v>
      </c>
      <c r="D44" s="3" t="s">
        <v>31</v>
      </c>
      <c r="E44" s="3" t="s">
        <v>11</v>
      </c>
      <c r="F44" s="3" t="s">
        <v>12</v>
      </c>
      <c r="G44">
        <v>25419.75</v>
      </c>
      <c r="H44">
        <v>25436</v>
      </c>
      <c r="I44">
        <v>-16.25</v>
      </c>
      <c r="J44" s="3" t="s">
        <v>24</v>
      </c>
      <c r="K44" s="3" t="s">
        <v>72</v>
      </c>
      <c r="M44">
        <f>IF(trades_NQF[[#This Row],[PnL_pts]]&gt;0,trades_NQF[[#This Row],[PnL_pts]],0)</f>
        <v>0</v>
      </c>
    </row>
    <row r="45" spans="1:13" x14ac:dyDescent="0.2">
      <c r="A45" s="1">
        <v>46056</v>
      </c>
      <c r="B45" s="4">
        <v>46057.149305555555</v>
      </c>
      <c r="C45" s="4">
        <v>46057.150694444441</v>
      </c>
      <c r="D45" s="3" t="s">
        <v>31</v>
      </c>
      <c r="E45" s="3" t="s">
        <v>11</v>
      </c>
      <c r="F45" s="3" t="s">
        <v>17</v>
      </c>
      <c r="G45">
        <v>25432</v>
      </c>
      <c r="H45">
        <v>25420.5</v>
      </c>
      <c r="I45">
        <v>-11.5</v>
      </c>
      <c r="J45" s="3" t="s">
        <v>15</v>
      </c>
      <c r="K45" s="3" t="s">
        <v>72</v>
      </c>
      <c r="M45">
        <f>IF(trades_NQF[[#This Row],[PnL_pts]]&gt;0,trades_NQF[[#This Row],[PnL_pts]],0)</f>
        <v>0</v>
      </c>
    </row>
    <row r="46" spans="1:13" x14ac:dyDescent="0.2">
      <c r="A46" s="1">
        <v>46056</v>
      </c>
      <c r="B46" s="4">
        <v>46057.151388888888</v>
      </c>
      <c r="C46" s="4">
        <v>46057.15347222222</v>
      </c>
      <c r="D46" s="3" t="s">
        <v>31</v>
      </c>
      <c r="E46" s="3" t="s">
        <v>11</v>
      </c>
      <c r="F46" s="3" t="s">
        <v>12</v>
      </c>
      <c r="G46">
        <v>25416</v>
      </c>
      <c r="H46">
        <v>25432.25</v>
      </c>
      <c r="I46">
        <v>-16.25</v>
      </c>
      <c r="J46" s="3" t="s">
        <v>32</v>
      </c>
      <c r="K46" s="3" t="s">
        <v>72</v>
      </c>
      <c r="M46">
        <f>IF(trades_NQF[[#This Row],[PnL_pts]]&gt;0,trades_NQF[[#This Row],[PnL_pts]],0)</f>
        <v>0</v>
      </c>
    </row>
    <row r="47" spans="1:13" x14ac:dyDescent="0.2">
      <c r="A47" s="1">
        <v>46056</v>
      </c>
      <c r="B47" s="4">
        <v>46057.166666666664</v>
      </c>
      <c r="C47" s="4">
        <v>46057.167361111111</v>
      </c>
      <c r="D47" s="3" t="s">
        <v>31</v>
      </c>
      <c r="E47" s="3" t="s">
        <v>11</v>
      </c>
      <c r="F47" s="3" t="s">
        <v>12</v>
      </c>
      <c r="G47">
        <v>25416.25</v>
      </c>
      <c r="H47">
        <v>25443</v>
      </c>
      <c r="I47">
        <v>-26.75</v>
      </c>
      <c r="J47" s="3" t="s">
        <v>13</v>
      </c>
      <c r="K47" s="3" t="s">
        <v>72</v>
      </c>
      <c r="M47">
        <f>IF(trades_NQF[[#This Row],[PnL_pts]]&gt;0,trades_NQF[[#This Row],[PnL_pts]],0)</f>
        <v>0</v>
      </c>
    </row>
    <row r="48" spans="1:13" x14ac:dyDescent="0.2">
      <c r="A48" s="1">
        <v>46056</v>
      </c>
      <c r="B48" s="4">
        <v>46057.175694444442</v>
      </c>
      <c r="C48" s="4">
        <v>46057.178472222222</v>
      </c>
      <c r="D48" s="3" t="s">
        <v>31</v>
      </c>
      <c r="E48" s="3" t="s">
        <v>11</v>
      </c>
      <c r="F48" s="3" t="s">
        <v>12</v>
      </c>
      <c r="G48">
        <v>25417.5</v>
      </c>
      <c r="H48">
        <v>25397</v>
      </c>
      <c r="I48">
        <v>20.5</v>
      </c>
      <c r="J48" s="3" t="s">
        <v>18</v>
      </c>
      <c r="K48" s="3" t="s">
        <v>14</v>
      </c>
      <c r="M48">
        <f>IF(trades_NQF[[#This Row],[PnL_pts]]&gt;0,trades_NQF[[#This Row],[PnL_pts]],0)</f>
        <v>20.5</v>
      </c>
    </row>
    <row r="49" spans="1:13" x14ac:dyDescent="0.2">
      <c r="A49" s="1">
        <v>46056</v>
      </c>
      <c r="B49" s="4">
        <v>46057.211111111108</v>
      </c>
      <c r="C49" s="4">
        <v>46057.215277777781</v>
      </c>
      <c r="D49" s="3" t="s">
        <v>31</v>
      </c>
      <c r="E49" s="3" t="s">
        <v>11</v>
      </c>
      <c r="F49" s="3" t="s">
        <v>17</v>
      </c>
      <c r="G49">
        <v>25429.5</v>
      </c>
      <c r="H49">
        <v>25422.75</v>
      </c>
      <c r="I49">
        <v>-6.75</v>
      </c>
      <c r="J49" s="3" t="s">
        <v>28</v>
      </c>
      <c r="K49" s="3" t="s">
        <v>72</v>
      </c>
      <c r="M49">
        <f>IF(trades_NQF[[#This Row],[PnL_pts]]&gt;0,trades_NQF[[#This Row],[PnL_pts]],0)</f>
        <v>0</v>
      </c>
    </row>
    <row r="50" spans="1:13" x14ac:dyDescent="0.2">
      <c r="A50" s="1">
        <v>46056</v>
      </c>
      <c r="B50" s="4">
        <v>46057.218055555553</v>
      </c>
      <c r="C50" s="4">
        <v>46057.21875</v>
      </c>
      <c r="D50" s="3" t="s">
        <v>31</v>
      </c>
      <c r="E50" s="3" t="s">
        <v>11</v>
      </c>
      <c r="F50" s="3" t="s">
        <v>12</v>
      </c>
      <c r="G50">
        <v>25422.5</v>
      </c>
      <c r="H50">
        <v>25424.75</v>
      </c>
      <c r="I50">
        <v>-2.25</v>
      </c>
      <c r="J50" s="3" t="s">
        <v>13</v>
      </c>
      <c r="K50" s="3" t="s">
        <v>72</v>
      </c>
      <c r="M50">
        <f>IF(trades_NQF[[#This Row],[PnL_pts]]&gt;0,trades_NQF[[#This Row],[PnL_pts]],0)</f>
        <v>0</v>
      </c>
    </row>
    <row r="51" spans="1:13" x14ac:dyDescent="0.2">
      <c r="A51" s="1">
        <v>46056</v>
      </c>
      <c r="B51" s="4">
        <v>46057.219444444447</v>
      </c>
      <c r="C51" s="4">
        <v>46057.224999999999</v>
      </c>
      <c r="D51" s="3" t="s">
        <v>31</v>
      </c>
      <c r="E51" s="3" t="s">
        <v>11</v>
      </c>
      <c r="F51" s="3" t="s">
        <v>17</v>
      </c>
      <c r="G51">
        <v>25429.75</v>
      </c>
      <c r="H51">
        <v>25438.25</v>
      </c>
      <c r="I51">
        <v>8.5</v>
      </c>
      <c r="J51" s="3" t="s">
        <v>21</v>
      </c>
      <c r="K51" s="3" t="s">
        <v>72</v>
      </c>
      <c r="M51">
        <f>IF(trades_NQF[[#This Row],[PnL_pts]]&gt;0,trades_NQF[[#This Row],[PnL_pts]],0)</f>
        <v>8.5</v>
      </c>
    </row>
    <row r="52" spans="1:13" x14ac:dyDescent="0.2">
      <c r="A52" s="1">
        <v>46056</v>
      </c>
      <c r="B52" s="4">
        <v>46057.317361111112</v>
      </c>
      <c r="C52" s="4">
        <v>46057.321527777778</v>
      </c>
      <c r="D52" s="3" t="s">
        <v>31</v>
      </c>
      <c r="E52" s="3" t="s">
        <v>11</v>
      </c>
      <c r="F52" s="3" t="s">
        <v>12</v>
      </c>
      <c r="G52">
        <v>25417.5</v>
      </c>
      <c r="H52">
        <v>25413</v>
      </c>
      <c r="I52">
        <v>4.5</v>
      </c>
      <c r="J52" s="3" t="s">
        <v>28</v>
      </c>
      <c r="K52" s="3" t="s">
        <v>72</v>
      </c>
      <c r="M52">
        <f>IF(trades_NQF[[#This Row],[PnL_pts]]&gt;0,trades_NQF[[#This Row],[PnL_pts]],0)</f>
        <v>4.5</v>
      </c>
    </row>
    <row r="53" spans="1:13" x14ac:dyDescent="0.2">
      <c r="A53" s="1">
        <v>46057</v>
      </c>
      <c r="B53" s="4">
        <v>46057.795138888891</v>
      </c>
      <c r="C53" s="4">
        <v>46057.809027777781</v>
      </c>
      <c r="D53" s="3" t="s">
        <v>22</v>
      </c>
      <c r="E53" s="3" t="s">
        <v>11</v>
      </c>
      <c r="F53" s="3" t="s">
        <v>17</v>
      </c>
      <c r="G53">
        <v>25056.5</v>
      </c>
      <c r="H53">
        <v>25107.25</v>
      </c>
      <c r="I53">
        <v>50.75</v>
      </c>
      <c r="J53" s="3" t="s">
        <v>27</v>
      </c>
      <c r="K53" s="3" t="s">
        <v>23</v>
      </c>
      <c r="M53">
        <f>IF(trades_NQF[[#This Row],[PnL_pts]]&gt;0,trades_NQF[[#This Row],[PnL_pts]],0)</f>
        <v>50.75</v>
      </c>
    </row>
    <row r="54" spans="1:13" x14ac:dyDescent="0.2">
      <c r="A54" s="1">
        <v>46057</v>
      </c>
      <c r="B54" s="4">
        <v>46057.87777777778</v>
      </c>
      <c r="C54" s="4">
        <v>46057.881944444445</v>
      </c>
      <c r="D54" s="3" t="s">
        <v>22</v>
      </c>
      <c r="E54" s="3" t="s">
        <v>11</v>
      </c>
      <c r="F54" s="3" t="s">
        <v>12</v>
      </c>
      <c r="G54">
        <v>25100</v>
      </c>
      <c r="H54">
        <v>25068.75</v>
      </c>
      <c r="I54">
        <v>31.25</v>
      </c>
      <c r="J54" s="3" t="s">
        <v>28</v>
      </c>
      <c r="K54" s="3" t="s">
        <v>14</v>
      </c>
      <c r="M54">
        <f>IF(trades_NQF[[#This Row],[PnL_pts]]&gt;0,trades_NQF[[#This Row],[PnL_pts]],0)</f>
        <v>31.25</v>
      </c>
    </row>
    <row r="55" spans="1:13" x14ac:dyDescent="0.2">
      <c r="A55" s="1">
        <v>46057</v>
      </c>
      <c r="B55" s="4">
        <v>46058.012499999997</v>
      </c>
      <c r="C55" s="4">
        <v>46058.01666666667</v>
      </c>
      <c r="D55" s="3" t="s">
        <v>22</v>
      </c>
      <c r="E55" s="3" t="s">
        <v>11</v>
      </c>
      <c r="F55" s="3" t="s">
        <v>12</v>
      </c>
      <c r="G55">
        <v>24968.5</v>
      </c>
      <c r="H55">
        <v>24976.75</v>
      </c>
      <c r="I55">
        <v>-8.25</v>
      </c>
      <c r="J55" s="3" t="s">
        <v>28</v>
      </c>
      <c r="K55" s="3" t="s">
        <v>72</v>
      </c>
      <c r="M55">
        <f>IF(trades_NQF[[#This Row],[PnL_pts]]&gt;0,trades_NQF[[#This Row],[PnL_pts]],0)</f>
        <v>0</v>
      </c>
    </row>
    <row r="56" spans="1:13" x14ac:dyDescent="0.2">
      <c r="A56" s="1">
        <v>46057</v>
      </c>
      <c r="B56" s="4">
        <v>46058.017361111109</v>
      </c>
      <c r="C56" s="4">
        <v>46058.022222222222</v>
      </c>
      <c r="D56" s="3" t="s">
        <v>22</v>
      </c>
      <c r="E56" s="3" t="s">
        <v>11</v>
      </c>
      <c r="F56" s="3" t="s">
        <v>17</v>
      </c>
      <c r="G56">
        <v>24985.5</v>
      </c>
      <c r="H56">
        <v>24991.5</v>
      </c>
      <c r="I56">
        <v>6</v>
      </c>
      <c r="J56" s="3" t="s">
        <v>30</v>
      </c>
      <c r="K56" s="3" t="s">
        <v>72</v>
      </c>
      <c r="M56">
        <f>IF(trades_NQF[[#This Row],[PnL_pts]]&gt;0,trades_NQF[[#This Row],[PnL_pts]],0)</f>
        <v>6</v>
      </c>
    </row>
    <row r="57" spans="1:13" x14ac:dyDescent="0.2">
      <c r="A57" s="1">
        <v>46057</v>
      </c>
      <c r="B57" s="4">
        <v>46058.112500000003</v>
      </c>
      <c r="C57" s="4">
        <v>46058.113194444442</v>
      </c>
      <c r="D57" s="3" t="s">
        <v>22</v>
      </c>
      <c r="E57" s="3" t="s">
        <v>11</v>
      </c>
      <c r="F57" s="3" t="s">
        <v>12</v>
      </c>
      <c r="G57">
        <v>25052</v>
      </c>
      <c r="H57">
        <v>25056.25</v>
      </c>
      <c r="I57">
        <v>-4.25</v>
      </c>
      <c r="J57" s="3" t="s">
        <v>13</v>
      </c>
      <c r="K57" s="3" t="s">
        <v>72</v>
      </c>
      <c r="M57">
        <f>IF(trades_NQF[[#This Row],[PnL_pts]]&gt;0,trades_NQF[[#This Row],[PnL_pts]],0)</f>
        <v>0</v>
      </c>
    </row>
    <row r="58" spans="1:13" x14ac:dyDescent="0.2">
      <c r="A58" s="1">
        <v>46057</v>
      </c>
      <c r="B58" s="4">
        <v>46058.122916666667</v>
      </c>
      <c r="C58" s="4">
        <v>46058.125</v>
      </c>
      <c r="D58" s="3" t="s">
        <v>22</v>
      </c>
      <c r="E58" s="3" t="s">
        <v>11</v>
      </c>
      <c r="F58" s="3" t="s">
        <v>12</v>
      </c>
      <c r="G58">
        <v>25050</v>
      </c>
      <c r="H58">
        <v>25063.5</v>
      </c>
      <c r="I58">
        <v>-13.5</v>
      </c>
      <c r="J58" s="3" t="s">
        <v>32</v>
      </c>
      <c r="K58" s="3" t="s">
        <v>72</v>
      </c>
      <c r="M58">
        <f>IF(trades_NQF[[#This Row],[PnL_pts]]&gt;0,trades_NQF[[#This Row],[PnL_pts]],0)</f>
        <v>0</v>
      </c>
    </row>
    <row r="59" spans="1:13" x14ac:dyDescent="0.2">
      <c r="A59" s="1">
        <v>46057</v>
      </c>
      <c r="B59" s="4">
        <v>46058.159722222219</v>
      </c>
      <c r="C59" s="4">
        <v>46058.165277777778</v>
      </c>
      <c r="D59" s="3" t="s">
        <v>31</v>
      </c>
      <c r="E59" s="3" t="s">
        <v>11</v>
      </c>
      <c r="F59" s="3" t="s">
        <v>12</v>
      </c>
      <c r="G59">
        <v>25047.5</v>
      </c>
      <c r="H59">
        <v>25024.5</v>
      </c>
      <c r="I59">
        <v>23</v>
      </c>
      <c r="J59" s="3" t="s">
        <v>21</v>
      </c>
      <c r="K59" s="3" t="s">
        <v>72</v>
      </c>
      <c r="M59">
        <f>IF(trades_NQF[[#This Row],[PnL_pts]]&gt;0,trades_NQF[[#This Row],[PnL_pts]],0)</f>
        <v>23</v>
      </c>
    </row>
    <row r="60" spans="1:13" x14ac:dyDescent="0.2">
      <c r="A60" s="1">
        <v>46057</v>
      </c>
      <c r="B60" s="4">
        <v>46058.184027777781</v>
      </c>
      <c r="C60" s="4">
        <v>46058.188888888886</v>
      </c>
      <c r="D60" s="3" t="s">
        <v>31</v>
      </c>
      <c r="E60" s="3" t="s">
        <v>11</v>
      </c>
      <c r="F60" s="3" t="s">
        <v>17</v>
      </c>
      <c r="G60">
        <v>25053</v>
      </c>
      <c r="H60">
        <v>25096.75</v>
      </c>
      <c r="I60">
        <v>43.75</v>
      </c>
      <c r="J60" s="3" t="s">
        <v>30</v>
      </c>
      <c r="K60" s="3" t="s">
        <v>23</v>
      </c>
      <c r="M60">
        <f>IF(trades_NQF[[#This Row],[PnL_pts]]&gt;0,trades_NQF[[#This Row],[PnL_pts]],0)</f>
        <v>43.75</v>
      </c>
    </row>
    <row r="61" spans="1:13" x14ac:dyDescent="0.2">
      <c r="A61" s="1">
        <v>46057</v>
      </c>
      <c r="B61" s="4">
        <v>46058.193055555559</v>
      </c>
      <c r="C61" s="4">
        <v>46058.198611111111</v>
      </c>
      <c r="D61" s="3" t="s">
        <v>31</v>
      </c>
      <c r="E61" s="3" t="s">
        <v>11</v>
      </c>
      <c r="F61" s="3" t="s">
        <v>12</v>
      </c>
      <c r="G61">
        <v>25054.25</v>
      </c>
      <c r="H61">
        <v>25039</v>
      </c>
      <c r="I61">
        <v>15.25</v>
      </c>
      <c r="J61" s="3" t="s">
        <v>21</v>
      </c>
      <c r="K61" s="3" t="s">
        <v>72</v>
      </c>
      <c r="M61">
        <f>IF(trades_NQF[[#This Row],[PnL_pts]]&gt;0,trades_NQF[[#This Row],[PnL_pts]],0)</f>
        <v>15.25</v>
      </c>
    </row>
    <row r="62" spans="1:13" x14ac:dyDescent="0.2">
      <c r="A62" s="1">
        <v>46057</v>
      </c>
      <c r="B62" s="4">
        <v>46058.215277777781</v>
      </c>
      <c r="C62" s="4">
        <v>46058.22152777778</v>
      </c>
      <c r="D62" s="3" t="s">
        <v>31</v>
      </c>
      <c r="E62" s="3" t="s">
        <v>11</v>
      </c>
      <c r="F62" s="3" t="s">
        <v>17</v>
      </c>
      <c r="G62">
        <v>25052.25</v>
      </c>
      <c r="H62">
        <v>25078</v>
      </c>
      <c r="I62">
        <v>25.75</v>
      </c>
      <c r="J62" s="3" t="s">
        <v>29</v>
      </c>
      <c r="K62" s="3" t="s">
        <v>72</v>
      </c>
      <c r="M62">
        <f>IF(trades_NQF[[#This Row],[PnL_pts]]&gt;0,trades_NQF[[#This Row],[PnL_pts]],0)</f>
        <v>25.75</v>
      </c>
    </row>
    <row r="63" spans="1:13" x14ac:dyDescent="0.2">
      <c r="A63" s="1">
        <v>46057</v>
      </c>
      <c r="B63" s="4">
        <v>46058.231944444444</v>
      </c>
      <c r="C63" s="4">
        <v>46058.236805555556</v>
      </c>
      <c r="D63" s="3" t="s">
        <v>31</v>
      </c>
      <c r="E63" s="3" t="s">
        <v>11</v>
      </c>
      <c r="F63" s="3" t="s">
        <v>12</v>
      </c>
      <c r="G63">
        <v>25049.5</v>
      </c>
      <c r="H63">
        <v>25048</v>
      </c>
      <c r="I63">
        <v>1.5</v>
      </c>
      <c r="J63" s="3" t="s">
        <v>30</v>
      </c>
      <c r="K63" s="3" t="s">
        <v>72</v>
      </c>
      <c r="M63">
        <f>IF(trades_NQF[[#This Row],[PnL_pts]]&gt;0,trades_NQF[[#This Row],[PnL_pts]],0)</f>
        <v>1.5</v>
      </c>
    </row>
    <row r="64" spans="1:13" x14ac:dyDescent="0.2">
      <c r="A64" s="1">
        <v>46057</v>
      </c>
      <c r="B64" s="4">
        <v>46058.261805555558</v>
      </c>
      <c r="C64" s="4">
        <v>46058.263194444444</v>
      </c>
      <c r="D64" s="3" t="s">
        <v>31</v>
      </c>
      <c r="E64" s="3" t="s">
        <v>11</v>
      </c>
      <c r="F64" s="3" t="s">
        <v>17</v>
      </c>
      <c r="G64">
        <v>25050.75</v>
      </c>
      <c r="H64">
        <v>25039.5</v>
      </c>
      <c r="I64">
        <v>-11.25</v>
      </c>
      <c r="J64" s="3" t="s">
        <v>15</v>
      </c>
      <c r="K64" s="3" t="s">
        <v>72</v>
      </c>
      <c r="M64">
        <f>IF(trades_NQF[[#This Row],[PnL_pts]]&gt;0,trades_NQF[[#This Row],[PnL_pts]],0)</f>
        <v>0</v>
      </c>
    </row>
    <row r="65" spans="1:13" x14ac:dyDescent="0.2">
      <c r="A65" s="1">
        <v>46057</v>
      </c>
      <c r="B65" s="4">
        <v>46058.263888888891</v>
      </c>
      <c r="C65" s="4">
        <v>46058.26458333333</v>
      </c>
      <c r="D65" s="3" t="s">
        <v>31</v>
      </c>
      <c r="E65" s="3" t="s">
        <v>11</v>
      </c>
      <c r="F65" s="3" t="s">
        <v>17</v>
      </c>
      <c r="G65">
        <v>25046.5</v>
      </c>
      <c r="H65">
        <v>25053.5</v>
      </c>
      <c r="I65">
        <v>7</v>
      </c>
      <c r="J65" s="3" t="s">
        <v>13</v>
      </c>
      <c r="K65" s="3" t="s">
        <v>72</v>
      </c>
      <c r="M65">
        <f>IF(trades_NQF[[#This Row],[PnL_pts]]&gt;0,trades_NQF[[#This Row],[PnL_pts]],0)</f>
        <v>7</v>
      </c>
    </row>
    <row r="66" spans="1:13" x14ac:dyDescent="0.2">
      <c r="A66" s="1">
        <v>46057</v>
      </c>
      <c r="B66" s="4">
        <v>46058.265277777777</v>
      </c>
      <c r="C66" s="4">
        <v>46058.26666666667</v>
      </c>
      <c r="D66" s="3" t="s">
        <v>31</v>
      </c>
      <c r="E66" s="3" t="s">
        <v>11</v>
      </c>
      <c r="F66" s="3" t="s">
        <v>17</v>
      </c>
      <c r="G66">
        <v>25056.25</v>
      </c>
      <c r="H66">
        <v>25049</v>
      </c>
      <c r="I66">
        <v>-7.25</v>
      </c>
      <c r="J66" s="3" t="s">
        <v>15</v>
      </c>
      <c r="K66" s="3" t="s">
        <v>72</v>
      </c>
      <c r="M66">
        <f>IF(trades_NQF[[#This Row],[PnL_pts]]&gt;0,trades_NQF[[#This Row],[PnL_pts]],0)</f>
        <v>0</v>
      </c>
    </row>
    <row r="67" spans="1:13" x14ac:dyDescent="0.2">
      <c r="A67" s="1">
        <v>46057</v>
      </c>
      <c r="B67" s="4">
        <v>46058.293749999997</v>
      </c>
      <c r="C67" s="4">
        <v>46058.294444444444</v>
      </c>
      <c r="D67" s="3" t="s">
        <v>31</v>
      </c>
      <c r="E67" s="3" t="s">
        <v>11</v>
      </c>
      <c r="F67" s="3" t="s">
        <v>17</v>
      </c>
      <c r="G67">
        <v>25044.5</v>
      </c>
      <c r="H67">
        <v>25051</v>
      </c>
      <c r="I67">
        <v>6.5</v>
      </c>
      <c r="J67" s="3" t="s">
        <v>13</v>
      </c>
      <c r="K67" s="3" t="s">
        <v>72</v>
      </c>
      <c r="M67">
        <f>IF(trades_NQF[[#This Row],[PnL_pts]]&gt;0,trades_NQF[[#This Row],[PnL_pts]],0)</f>
        <v>6.5</v>
      </c>
    </row>
    <row r="68" spans="1:13" x14ac:dyDescent="0.2">
      <c r="A68" s="1">
        <v>46058</v>
      </c>
      <c r="B68" s="4">
        <v>46058.770138888889</v>
      </c>
      <c r="C68" s="4">
        <v>46058.772916666669</v>
      </c>
      <c r="D68" s="3" t="s">
        <v>22</v>
      </c>
      <c r="E68" s="3" t="s">
        <v>11</v>
      </c>
      <c r="F68" s="3" t="s">
        <v>17</v>
      </c>
      <c r="G68">
        <v>24425.75</v>
      </c>
      <c r="H68">
        <v>24401.5</v>
      </c>
      <c r="I68">
        <v>-24.25</v>
      </c>
      <c r="J68" s="3" t="s">
        <v>18</v>
      </c>
      <c r="K68" s="3" t="s">
        <v>72</v>
      </c>
      <c r="M68">
        <f>IF(trades_NQF[[#This Row],[PnL_pts]]&gt;0,trades_NQF[[#This Row],[PnL_pts]],0)</f>
        <v>0</v>
      </c>
    </row>
    <row r="69" spans="1:13" x14ac:dyDescent="0.2">
      <c r="A69" s="1">
        <v>46058</v>
      </c>
      <c r="B69" s="4">
        <v>46058.809027777781</v>
      </c>
      <c r="C69" s="4">
        <v>46058.80972222222</v>
      </c>
      <c r="D69" s="3" t="s">
        <v>22</v>
      </c>
      <c r="E69" s="3" t="s">
        <v>11</v>
      </c>
      <c r="F69" s="3" t="s">
        <v>17</v>
      </c>
      <c r="G69">
        <v>24359.75</v>
      </c>
      <c r="H69">
        <v>24358.5</v>
      </c>
      <c r="I69">
        <v>-1.25</v>
      </c>
      <c r="J69" s="3" t="s">
        <v>13</v>
      </c>
      <c r="K69" s="3" t="s">
        <v>72</v>
      </c>
      <c r="M69">
        <f>IF(trades_NQF[[#This Row],[PnL_pts]]&gt;0,trades_NQF[[#This Row],[PnL_pts]],0)</f>
        <v>0</v>
      </c>
    </row>
    <row r="70" spans="1:13" x14ac:dyDescent="0.2">
      <c r="A70" s="1">
        <v>46058</v>
      </c>
      <c r="B70" s="4">
        <v>46058.8125</v>
      </c>
      <c r="C70" s="4">
        <v>46058.813194444447</v>
      </c>
      <c r="D70" s="3" t="s">
        <v>22</v>
      </c>
      <c r="E70" s="3" t="s">
        <v>11</v>
      </c>
      <c r="F70" s="3" t="s">
        <v>17</v>
      </c>
      <c r="G70">
        <v>24382</v>
      </c>
      <c r="H70">
        <v>24367.25</v>
      </c>
      <c r="I70">
        <v>-14.75</v>
      </c>
      <c r="J70" s="3" t="s">
        <v>13</v>
      </c>
      <c r="K70" s="3" t="s">
        <v>72</v>
      </c>
      <c r="M70">
        <f>IF(trades_NQF[[#This Row],[PnL_pts]]&gt;0,trades_NQF[[#This Row],[PnL_pts]],0)</f>
        <v>0</v>
      </c>
    </row>
    <row r="71" spans="1:13" x14ac:dyDescent="0.2">
      <c r="A71" s="1">
        <v>46058</v>
      </c>
      <c r="B71" s="4">
        <v>46058.81527777778</v>
      </c>
      <c r="C71" s="4">
        <v>46058.819444444445</v>
      </c>
      <c r="D71" s="3" t="s">
        <v>22</v>
      </c>
      <c r="E71" s="3" t="s">
        <v>11</v>
      </c>
      <c r="F71" s="3" t="s">
        <v>17</v>
      </c>
      <c r="G71">
        <v>24378.5</v>
      </c>
      <c r="H71">
        <v>24367.75</v>
      </c>
      <c r="I71">
        <v>-10.75</v>
      </c>
      <c r="J71" s="3" t="s">
        <v>28</v>
      </c>
      <c r="K71" s="3" t="s">
        <v>72</v>
      </c>
      <c r="M71">
        <f>IF(trades_NQF[[#This Row],[PnL_pts]]&gt;0,trades_NQF[[#This Row],[PnL_pts]],0)</f>
        <v>0</v>
      </c>
    </row>
    <row r="72" spans="1:13" x14ac:dyDescent="0.2">
      <c r="A72" s="1">
        <v>46058</v>
      </c>
      <c r="B72" s="4">
        <v>46058.820138888892</v>
      </c>
      <c r="C72" s="4">
        <v>46058.822916666664</v>
      </c>
      <c r="D72" s="3" t="s">
        <v>22</v>
      </c>
      <c r="E72" s="3" t="s">
        <v>11</v>
      </c>
      <c r="F72" s="3" t="s">
        <v>12</v>
      </c>
      <c r="G72">
        <v>24360.5</v>
      </c>
      <c r="H72">
        <v>24373.75</v>
      </c>
      <c r="I72">
        <v>-13.25</v>
      </c>
      <c r="J72" s="3" t="s">
        <v>18</v>
      </c>
      <c r="K72" s="3" t="s">
        <v>72</v>
      </c>
      <c r="M72">
        <f>IF(trades_NQF[[#This Row],[PnL_pts]]&gt;0,trades_NQF[[#This Row],[PnL_pts]],0)</f>
        <v>0</v>
      </c>
    </row>
    <row r="73" spans="1:13" x14ac:dyDescent="0.2">
      <c r="A73" s="1">
        <v>46058</v>
      </c>
      <c r="B73" s="4">
        <v>46058.824305555558</v>
      </c>
      <c r="C73" s="4">
        <v>46058.828472222223</v>
      </c>
      <c r="D73" s="3" t="s">
        <v>22</v>
      </c>
      <c r="E73" s="3" t="s">
        <v>11</v>
      </c>
      <c r="F73" s="3" t="s">
        <v>12</v>
      </c>
      <c r="G73">
        <v>24357.5</v>
      </c>
      <c r="H73">
        <v>24371.75</v>
      </c>
      <c r="I73">
        <v>-14.25</v>
      </c>
      <c r="J73" s="3" t="s">
        <v>28</v>
      </c>
      <c r="K73" s="3" t="s">
        <v>72</v>
      </c>
      <c r="M73">
        <f>IF(trades_NQF[[#This Row],[PnL_pts]]&gt;0,trades_NQF[[#This Row],[PnL_pts]],0)</f>
        <v>0</v>
      </c>
    </row>
    <row r="74" spans="1:13" x14ac:dyDescent="0.2">
      <c r="A74" s="1">
        <v>46058</v>
      </c>
      <c r="B74" s="4">
        <v>46058.829861111109</v>
      </c>
      <c r="C74" s="4">
        <v>46058.835416666669</v>
      </c>
      <c r="D74" s="3" t="s">
        <v>22</v>
      </c>
      <c r="E74" s="3" t="s">
        <v>11</v>
      </c>
      <c r="F74" s="3" t="s">
        <v>17</v>
      </c>
      <c r="G74">
        <v>24377.25</v>
      </c>
      <c r="H74">
        <v>24435.5</v>
      </c>
      <c r="I74">
        <v>58.25</v>
      </c>
      <c r="J74" s="3" t="s">
        <v>21</v>
      </c>
      <c r="K74" s="3" t="s">
        <v>23</v>
      </c>
      <c r="M74">
        <f>IF(trades_NQF[[#This Row],[PnL_pts]]&gt;0,trades_NQF[[#This Row],[PnL_pts]],0)</f>
        <v>58.25</v>
      </c>
    </row>
    <row r="75" spans="1:13" x14ac:dyDescent="0.2">
      <c r="A75" s="1">
        <v>46058</v>
      </c>
      <c r="B75" s="4">
        <v>46058.840277777781</v>
      </c>
      <c r="C75" s="4">
        <v>46058.843055555553</v>
      </c>
      <c r="D75" s="3" t="s">
        <v>22</v>
      </c>
      <c r="E75" s="3" t="s">
        <v>11</v>
      </c>
      <c r="F75" s="3" t="s">
        <v>12</v>
      </c>
      <c r="G75">
        <v>24398.25</v>
      </c>
      <c r="H75">
        <v>24377.75</v>
      </c>
      <c r="I75">
        <v>20.5</v>
      </c>
      <c r="J75" s="3" t="s">
        <v>18</v>
      </c>
      <c r="K75" s="3" t="s">
        <v>72</v>
      </c>
      <c r="M75">
        <f>IF(trades_NQF[[#This Row],[PnL_pts]]&gt;0,trades_NQF[[#This Row],[PnL_pts]],0)</f>
        <v>20.5</v>
      </c>
    </row>
    <row r="76" spans="1:13" x14ac:dyDescent="0.2">
      <c r="A76" s="1">
        <v>46058</v>
      </c>
      <c r="B76" s="4">
        <v>46058.844444444447</v>
      </c>
      <c r="C76" s="4">
        <v>46058.845138888886</v>
      </c>
      <c r="D76" s="3" t="s">
        <v>22</v>
      </c>
      <c r="E76" s="3" t="s">
        <v>11</v>
      </c>
      <c r="F76" s="3" t="s">
        <v>12</v>
      </c>
      <c r="G76">
        <v>24370.75</v>
      </c>
      <c r="H76">
        <v>24386.75</v>
      </c>
      <c r="I76">
        <v>-16</v>
      </c>
      <c r="J76" s="3" t="s">
        <v>13</v>
      </c>
      <c r="K76" s="3" t="s">
        <v>72</v>
      </c>
      <c r="M76">
        <f>IF(trades_NQF[[#This Row],[PnL_pts]]&gt;0,trades_NQF[[#This Row],[PnL_pts]],0)</f>
        <v>0</v>
      </c>
    </row>
    <row r="77" spans="1:13" x14ac:dyDescent="0.2">
      <c r="A77" s="1">
        <v>46058</v>
      </c>
      <c r="B77" s="4">
        <v>46058.845833333333</v>
      </c>
      <c r="C77" s="4">
        <v>46058.849305555559</v>
      </c>
      <c r="D77" s="3" t="s">
        <v>22</v>
      </c>
      <c r="E77" s="3" t="s">
        <v>11</v>
      </c>
      <c r="F77" s="3" t="s">
        <v>12</v>
      </c>
      <c r="G77">
        <v>24370.25</v>
      </c>
      <c r="H77">
        <v>24368.25</v>
      </c>
      <c r="I77">
        <v>2</v>
      </c>
      <c r="J77" s="3" t="s">
        <v>24</v>
      </c>
      <c r="K77" s="3" t="s">
        <v>72</v>
      </c>
      <c r="M77">
        <f>IF(trades_NQF[[#This Row],[PnL_pts]]&gt;0,trades_NQF[[#This Row],[PnL_pts]],0)</f>
        <v>2</v>
      </c>
    </row>
    <row r="78" spans="1:13" x14ac:dyDescent="0.2">
      <c r="A78" s="1">
        <v>46058</v>
      </c>
      <c r="B78" s="4">
        <v>46058.854861111111</v>
      </c>
      <c r="C78" s="4">
        <v>46058.859722222223</v>
      </c>
      <c r="D78" s="3" t="s">
        <v>22</v>
      </c>
      <c r="E78" s="3" t="s">
        <v>11</v>
      </c>
      <c r="F78" s="3" t="s">
        <v>17</v>
      </c>
      <c r="G78">
        <v>24379.25</v>
      </c>
      <c r="H78">
        <v>24437</v>
      </c>
      <c r="I78">
        <v>57.75</v>
      </c>
      <c r="J78" s="3" t="s">
        <v>30</v>
      </c>
      <c r="K78" s="3" t="s">
        <v>23</v>
      </c>
    </row>
    <row r="79" spans="1:13" x14ac:dyDescent="0.2">
      <c r="A79" s="1">
        <v>46058</v>
      </c>
      <c r="B79" s="4">
        <v>46059.023611111108</v>
      </c>
      <c r="C79" s="4">
        <v>46059.025694444441</v>
      </c>
      <c r="D79" s="3" t="s">
        <v>22</v>
      </c>
      <c r="E79" s="3" t="s">
        <v>11</v>
      </c>
      <c r="F79" s="3" t="s">
        <v>17</v>
      </c>
      <c r="G79">
        <v>24525.75</v>
      </c>
      <c r="H79">
        <v>24555</v>
      </c>
      <c r="I79">
        <v>29.25</v>
      </c>
      <c r="J79" s="3" t="s">
        <v>32</v>
      </c>
      <c r="K79" s="3" t="s">
        <v>23</v>
      </c>
    </row>
    <row r="80" spans="1:13" x14ac:dyDescent="0.2">
      <c r="A80" s="1">
        <v>46058</v>
      </c>
      <c r="B80" s="4">
        <v>46059.085416666669</v>
      </c>
      <c r="C80" s="4">
        <v>46059.086805555555</v>
      </c>
      <c r="D80" s="3" t="s">
        <v>22</v>
      </c>
      <c r="E80" s="3" t="s">
        <v>11</v>
      </c>
      <c r="F80" s="3" t="s">
        <v>12</v>
      </c>
      <c r="G80">
        <v>24515.5</v>
      </c>
      <c r="H80">
        <v>24523.75</v>
      </c>
      <c r="I80">
        <v>-8.25</v>
      </c>
      <c r="J80" s="3" t="s">
        <v>15</v>
      </c>
      <c r="K80" s="3" t="s">
        <v>72</v>
      </c>
    </row>
    <row r="81" spans="1:11" x14ac:dyDescent="0.2">
      <c r="A81" s="1">
        <v>46058</v>
      </c>
      <c r="B81" s="4">
        <v>46059.088888888888</v>
      </c>
      <c r="C81" s="4">
        <v>46059.090277777781</v>
      </c>
      <c r="D81" s="3" t="s">
        <v>22</v>
      </c>
      <c r="E81" s="3" t="s">
        <v>11</v>
      </c>
      <c r="F81" s="3" t="s">
        <v>17</v>
      </c>
      <c r="G81">
        <v>24528.5</v>
      </c>
      <c r="H81">
        <v>24518</v>
      </c>
      <c r="I81">
        <v>-10.5</v>
      </c>
      <c r="J81" s="3" t="s">
        <v>15</v>
      </c>
      <c r="K81" s="3" t="s">
        <v>72</v>
      </c>
    </row>
    <row r="82" spans="1:11" x14ac:dyDescent="0.2">
      <c r="A82" s="1">
        <v>46058</v>
      </c>
      <c r="B82" s="4">
        <v>46059.093055555553</v>
      </c>
      <c r="C82" s="4">
        <v>46059.105555555558</v>
      </c>
      <c r="D82" s="3" t="s">
        <v>22</v>
      </c>
      <c r="E82" s="3" t="s">
        <v>11</v>
      </c>
      <c r="F82" s="3" t="s">
        <v>17</v>
      </c>
      <c r="G82">
        <v>24528</v>
      </c>
      <c r="H82">
        <v>24566.75</v>
      </c>
      <c r="I82">
        <v>38.75</v>
      </c>
      <c r="J82" s="3" t="s">
        <v>71</v>
      </c>
      <c r="K82" s="3" t="s">
        <v>72</v>
      </c>
    </row>
    <row r="83" spans="1:11" x14ac:dyDescent="0.2">
      <c r="A83" s="1">
        <v>46058</v>
      </c>
      <c r="B83" s="4">
        <v>46059.126388888886</v>
      </c>
      <c r="C83" s="4">
        <v>46059.12777777778</v>
      </c>
      <c r="D83" s="3" t="s">
        <v>31</v>
      </c>
      <c r="E83" s="3" t="s">
        <v>11</v>
      </c>
      <c r="F83" s="3" t="s">
        <v>12</v>
      </c>
      <c r="G83">
        <v>24495.5</v>
      </c>
      <c r="H83">
        <v>24521.5</v>
      </c>
      <c r="I83">
        <v>-26</v>
      </c>
      <c r="J83" s="3" t="s">
        <v>15</v>
      </c>
      <c r="K83" s="3" t="s">
        <v>72</v>
      </c>
    </row>
    <row r="84" spans="1:11" x14ac:dyDescent="0.2">
      <c r="A84" s="1">
        <v>46061</v>
      </c>
      <c r="B84" s="4">
        <v>46061.823611111111</v>
      </c>
      <c r="C84" s="4">
        <v>46061.825694444444</v>
      </c>
      <c r="D84" s="3" t="s">
        <v>22</v>
      </c>
      <c r="E84" s="3" t="s">
        <v>11</v>
      </c>
      <c r="F84" s="3" t="s">
        <v>12</v>
      </c>
      <c r="G84">
        <v>25288.5</v>
      </c>
      <c r="H84">
        <v>25275.25</v>
      </c>
      <c r="I84">
        <v>13.25</v>
      </c>
      <c r="J84" s="3" t="s">
        <v>32</v>
      </c>
      <c r="K84" s="3" t="s">
        <v>72</v>
      </c>
    </row>
    <row r="85" spans="1:11" x14ac:dyDescent="0.2">
      <c r="A85" s="1">
        <v>46061</v>
      </c>
      <c r="B85" s="4">
        <v>46061.839583333334</v>
      </c>
      <c r="C85" s="4">
        <v>46061.842361111114</v>
      </c>
      <c r="D85" s="3" t="s">
        <v>22</v>
      </c>
      <c r="E85" s="3" t="s">
        <v>11</v>
      </c>
      <c r="F85" s="3" t="s">
        <v>17</v>
      </c>
      <c r="G85">
        <v>25261.25</v>
      </c>
      <c r="H85">
        <v>25250</v>
      </c>
      <c r="I85">
        <v>-11.25</v>
      </c>
      <c r="J85" s="3" t="s">
        <v>18</v>
      </c>
      <c r="K85" s="3" t="s">
        <v>72</v>
      </c>
    </row>
    <row r="86" spans="1:11" x14ac:dyDescent="0.2">
      <c r="A86" s="1">
        <v>46061</v>
      </c>
      <c r="B86" s="4">
        <v>46061.855555555558</v>
      </c>
      <c r="C86" s="4">
        <v>46061.856944444444</v>
      </c>
      <c r="D86" s="3" t="s">
        <v>22</v>
      </c>
      <c r="E86" s="3" t="s">
        <v>11</v>
      </c>
      <c r="F86" s="3" t="s">
        <v>17</v>
      </c>
      <c r="G86">
        <v>25259.5</v>
      </c>
      <c r="H86">
        <v>25249.5</v>
      </c>
      <c r="I86">
        <v>-10</v>
      </c>
      <c r="J86" s="3" t="s">
        <v>15</v>
      </c>
      <c r="K86" s="3" t="s">
        <v>72</v>
      </c>
    </row>
    <row r="87" spans="1:11" x14ac:dyDescent="0.2">
      <c r="A87" s="1">
        <v>46061</v>
      </c>
      <c r="B87" s="4">
        <v>46061.880555555559</v>
      </c>
      <c r="C87" s="4">
        <v>46061.883333333331</v>
      </c>
      <c r="D87" s="3" t="s">
        <v>22</v>
      </c>
      <c r="E87" s="3" t="s">
        <v>11</v>
      </c>
      <c r="F87" s="3" t="s">
        <v>17</v>
      </c>
      <c r="G87">
        <v>25238</v>
      </c>
      <c r="H87">
        <v>25228.75</v>
      </c>
      <c r="I87">
        <v>-9.25</v>
      </c>
      <c r="J87" s="3" t="s">
        <v>18</v>
      </c>
      <c r="K87" s="3" t="s">
        <v>72</v>
      </c>
    </row>
    <row r="88" spans="1:11" x14ac:dyDescent="0.2">
      <c r="A88" s="1">
        <v>46061</v>
      </c>
      <c r="B88" s="4">
        <v>46061.896527777775</v>
      </c>
      <c r="C88" s="4">
        <v>46061.902083333334</v>
      </c>
      <c r="D88" s="3" t="s">
        <v>22</v>
      </c>
      <c r="E88" s="3" t="s">
        <v>11</v>
      </c>
      <c r="F88" s="3" t="s">
        <v>17</v>
      </c>
      <c r="G88">
        <v>25240.75</v>
      </c>
      <c r="H88">
        <v>25250.5</v>
      </c>
      <c r="I88">
        <v>9.75</v>
      </c>
      <c r="J88" s="3" t="s">
        <v>21</v>
      </c>
      <c r="K88" s="3" t="s">
        <v>72</v>
      </c>
    </row>
    <row r="89" spans="1:11" x14ac:dyDescent="0.2">
      <c r="A89" s="1">
        <v>46061</v>
      </c>
      <c r="B89" s="4">
        <v>46061.913888888892</v>
      </c>
      <c r="C89" s="4">
        <v>46061.916666666664</v>
      </c>
      <c r="D89" s="3" t="s">
        <v>22</v>
      </c>
      <c r="E89" s="3" t="s">
        <v>11</v>
      </c>
      <c r="F89" s="3" t="s">
        <v>12</v>
      </c>
      <c r="G89">
        <v>25236.75</v>
      </c>
      <c r="H89">
        <v>25239.75</v>
      </c>
      <c r="I89">
        <v>-3</v>
      </c>
      <c r="J89" s="3" t="s">
        <v>18</v>
      </c>
      <c r="K89" s="3" t="s">
        <v>72</v>
      </c>
    </row>
    <row r="90" spans="1:11" x14ac:dyDescent="0.2">
      <c r="A90" s="1">
        <v>46061</v>
      </c>
      <c r="B90" s="4">
        <v>46061.917361111111</v>
      </c>
      <c r="C90" s="4">
        <v>46061.918055555558</v>
      </c>
      <c r="D90" s="3" t="s">
        <v>22</v>
      </c>
      <c r="E90" s="3" t="s">
        <v>11</v>
      </c>
      <c r="F90" s="3" t="s">
        <v>12</v>
      </c>
      <c r="G90">
        <v>25229.75</v>
      </c>
      <c r="H90">
        <v>25233.5</v>
      </c>
      <c r="I90">
        <v>-3.75</v>
      </c>
      <c r="J90" s="3" t="s">
        <v>13</v>
      </c>
      <c r="K90" s="3" t="s">
        <v>72</v>
      </c>
    </row>
    <row r="91" spans="1:11" x14ac:dyDescent="0.2">
      <c r="A91" s="1">
        <v>46061</v>
      </c>
      <c r="B91" s="4">
        <v>46061.927777777775</v>
      </c>
      <c r="C91" s="4">
        <v>46061.928472222222</v>
      </c>
      <c r="D91" s="3" t="s">
        <v>22</v>
      </c>
      <c r="E91" s="3" t="s">
        <v>11</v>
      </c>
      <c r="F91" s="3" t="s">
        <v>17</v>
      </c>
      <c r="G91">
        <v>25232.5</v>
      </c>
      <c r="H91">
        <v>25231.75</v>
      </c>
      <c r="I91">
        <v>-0.75</v>
      </c>
      <c r="J91" s="3" t="s">
        <v>13</v>
      </c>
      <c r="K91" s="3" t="s">
        <v>72</v>
      </c>
    </row>
    <row r="92" spans="1:11" x14ac:dyDescent="0.2">
      <c r="A92" s="1">
        <v>46061</v>
      </c>
      <c r="B92" s="4">
        <v>46062.024305555555</v>
      </c>
      <c r="C92" s="4">
        <v>46062.026388888888</v>
      </c>
      <c r="D92" s="3" t="s">
        <v>22</v>
      </c>
      <c r="E92" s="3" t="s">
        <v>11</v>
      </c>
      <c r="F92" s="3" t="s">
        <v>17</v>
      </c>
      <c r="G92">
        <v>25222.25</v>
      </c>
      <c r="H92">
        <v>25215.5</v>
      </c>
      <c r="I92">
        <v>-6.75</v>
      </c>
      <c r="J92" s="3" t="s">
        <v>32</v>
      </c>
      <c r="K92" s="3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2FDE-46B1-C14B-8E7F-8E26C8D44000}">
  <dimension ref="A2:W146"/>
  <sheetViews>
    <sheetView workbookViewId="0"/>
  </sheetViews>
  <sheetFormatPr baseColWidth="10" defaultRowHeight="16" x14ac:dyDescent="0.2"/>
  <cols>
    <col min="2" max="3" width="23.33203125" bestFit="1" customWidth="1"/>
    <col min="7" max="7" width="10.83203125" customWidth="1"/>
    <col min="10" max="10" width="18.33203125" customWidth="1"/>
    <col min="11" max="11" width="11.5" bestFit="1" customWidth="1"/>
  </cols>
  <sheetData>
    <row r="2" spans="1:2" x14ac:dyDescent="0.2">
      <c r="A2" s="1"/>
      <c r="B2" s="2"/>
    </row>
    <row r="3" spans="1:2" x14ac:dyDescent="0.2">
      <c r="A3" s="1"/>
    </row>
    <row r="4" spans="1:2" x14ac:dyDescent="0.2">
      <c r="A4" s="1"/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23" x14ac:dyDescent="0.2">
      <c r="A129" s="1"/>
    </row>
    <row r="130" spans="1:23" x14ac:dyDescent="0.2">
      <c r="A130" s="1"/>
    </row>
    <row r="131" spans="1:23" x14ac:dyDescent="0.2">
      <c r="M131" s="1">
        <v>46061</v>
      </c>
      <c r="N131" t="s">
        <v>35</v>
      </c>
      <c r="O131" t="s">
        <v>36</v>
      </c>
      <c r="P131" t="s">
        <v>22</v>
      </c>
      <c r="Q131" t="s">
        <v>16</v>
      </c>
      <c r="R131" t="s">
        <v>12</v>
      </c>
      <c r="S131">
        <v>25254.25</v>
      </c>
      <c r="T131">
        <v>25232.25</v>
      </c>
      <c r="U131">
        <v>22</v>
      </c>
      <c r="V131" t="s">
        <v>34</v>
      </c>
      <c r="W131" t="s">
        <v>25</v>
      </c>
    </row>
    <row r="132" spans="1:23" x14ac:dyDescent="0.2">
      <c r="M132" s="1">
        <v>46061</v>
      </c>
      <c r="N132" t="s">
        <v>37</v>
      </c>
      <c r="O132" t="s">
        <v>38</v>
      </c>
      <c r="P132" t="s">
        <v>22</v>
      </c>
      <c r="Q132" t="s">
        <v>16</v>
      </c>
      <c r="R132" t="s">
        <v>12</v>
      </c>
      <c r="S132">
        <v>25314.5</v>
      </c>
      <c r="T132">
        <v>25329.5</v>
      </c>
      <c r="U132">
        <v>-15</v>
      </c>
      <c r="V132" t="s">
        <v>32</v>
      </c>
      <c r="W132" t="s">
        <v>19</v>
      </c>
    </row>
    <row r="133" spans="1:23" x14ac:dyDescent="0.2">
      <c r="M133" s="1">
        <v>46061</v>
      </c>
      <c r="N133" t="s">
        <v>39</v>
      </c>
      <c r="O133" t="s">
        <v>40</v>
      </c>
      <c r="P133" t="s">
        <v>22</v>
      </c>
      <c r="Q133" t="s">
        <v>16</v>
      </c>
      <c r="R133" t="s">
        <v>12</v>
      </c>
      <c r="S133">
        <v>25313</v>
      </c>
      <c r="T133">
        <v>25328</v>
      </c>
      <c r="U133">
        <v>-15</v>
      </c>
      <c r="V133" t="s">
        <v>18</v>
      </c>
      <c r="W133" t="s">
        <v>19</v>
      </c>
    </row>
    <row r="134" spans="1:23" x14ac:dyDescent="0.2">
      <c r="M134" s="1">
        <v>46061</v>
      </c>
      <c r="N134" t="s">
        <v>41</v>
      </c>
      <c r="O134" t="s">
        <v>42</v>
      </c>
      <c r="P134" t="s">
        <v>22</v>
      </c>
      <c r="Q134" t="s">
        <v>16</v>
      </c>
      <c r="R134" t="s">
        <v>12</v>
      </c>
      <c r="S134">
        <v>25314</v>
      </c>
      <c r="T134">
        <v>25329</v>
      </c>
      <c r="U134">
        <v>-15</v>
      </c>
      <c r="V134" t="s">
        <v>33</v>
      </c>
      <c r="W134" t="s">
        <v>19</v>
      </c>
    </row>
    <row r="135" spans="1:23" x14ac:dyDescent="0.2">
      <c r="M135" s="1">
        <v>46061</v>
      </c>
      <c r="N135" t="s">
        <v>43</v>
      </c>
      <c r="O135" t="s">
        <v>44</v>
      </c>
      <c r="P135" t="s">
        <v>22</v>
      </c>
      <c r="Q135" t="s">
        <v>11</v>
      </c>
      <c r="R135" t="s">
        <v>12</v>
      </c>
      <c r="S135">
        <v>25288.5</v>
      </c>
      <c r="T135">
        <v>25255.75</v>
      </c>
      <c r="U135">
        <v>32.75</v>
      </c>
      <c r="V135" t="s">
        <v>45</v>
      </c>
      <c r="W135" t="s">
        <v>14</v>
      </c>
    </row>
    <row r="136" spans="1:23" x14ac:dyDescent="0.2">
      <c r="M136" s="1">
        <v>46061</v>
      </c>
      <c r="N136" t="s">
        <v>46</v>
      </c>
      <c r="O136" t="s">
        <v>47</v>
      </c>
      <c r="P136" t="s">
        <v>22</v>
      </c>
      <c r="Q136" t="s">
        <v>11</v>
      </c>
      <c r="R136" t="s">
        <v>12</v>
      </c>
      <c r="S136">
        <v>25255.75</v>
      </c>
      <c r="T136">
        <v>25248.25</v>
      </c>
      <c r="U136">
        <v>7.5</v>
      </c>
      <c r="V136" t="s">
        <v>13</v>
      </c>
      <c r="W136" t="s">
        <v>14</v>
      </c>
    </row>
    <row r="137" spans="1:23" x14ac:dyDescent="0.2">
      <c r="M137" s="1">
        <v>46061</v>
      </c>
      <c r="N137" t="s">
        <v>48</v>
      </c>
      <c r="O137" t="s">
        <v>49</v>
      </c>
      <c r="P137" t="s">
        <v>22</v>
      </c>
      <c r="Q137" t="s">
        <v>11</v>
      </c>
      <c r="R137" t="s">
        <v>17</v>
      </c>
      <c r="S137">
        <v>25261.25</v>
      </c>
      <c r="T137">
        <v>25246.25</v>
      </c>
      <c r="U137">
        <v>-15</v>
      </c>
      <c r="V137" t="s">
        <v>24</v>
      </c>
      <c r="W137" t="s">
        <v>19</v>
      </c>
    </row>
    <row r="138" spans="1:23" x14ac:dyDescent="0.2">
      <c r="M138" s="1">
        <v>46061</v>
      </c>
      <c r="N138" t="s">
        <v>50</v>
      </c>
      <c r="O138" t="s">
        <v>51</v>
      </c>
      <c r="P138" t="s">
        <v>22</v>
      </c>
      <c r="Q138" t="s">
        <v>11</v>
      </c>
      <c r="R138" t="s">
        <v>17</v>
      </c>
      <c r="S138">
        <v>25259.5</v>
      </c>
      <c r="T138">
        <v>25244.5</v>
      </c>
      <c r="U138">
        <v>-15</v>
      </c>
      <c r="V138" t="s">
        <v>32</v>
      </c>
      <c r="W138" t="s">
        <v>19</v>
      </c>
    </row>
    <row r="139" spans="1:23" x14ac:dyDescent="0.2">
      <c r="M139" s="1">
        <v>46061</v>
      </c>
      <c r="N139" t="s">
        <v>52</v>
      </c>
      <c r="O139" t="s">
        <v>53</v>
      </c>
      <c r="P139" t="s">
        <v>22</v>
      </c>
      <c r="Q139" t="s">
        <v>16</v>
      </c>
      <c r="R139" t="s">
        <v>17</v>
      </c>
      <c r="S139">
        <v>25226.25</v>
      </c>
      <c r="T139">
        <v>25211.25</v>
      </c>
      <c r="U139">
        <v>-15</v>
      </c>
      <c r="V139" t="s">
        <v>32</v>
      </c>
      <c r="W139" t="s">
        <v>19</v>
      </c>
    </row>
    <row r="140" spans="1:23" x14ac:dyDescent="0.2">
      <c r="M140" s="1">
        <v>46061</v>
      </c>
      <c r="N140" t="s">
        <v>54</v>
      </c>
      <c r="O140" t="s">
        <v>55</v>
      </c>
      <c r="P140" t="s">
        <v>22</v>
      </c>
      <c r="Q140" t="s">
        <v>16</v>
      </c>
      <c r="R140" t="s">
        <v>17</v>
      </c>
      <c r="S140">
        <v>25220</v>
      </c>
      <c r="T140">
        <v>25237.75</v>
      </c>
      <c r="U140">
        <v>17.75</v>
      </c>
      <c r="V140" t="s">
        <v>33</v>
      </c>
      <c r="W140" t="s">
        <v>25</v>
      </c>
    </row>
    <row r="141" spans="1:23" x14ac:dyDescent="0.2">
      <c r="M141" s="1">
        <v>46061</v>
      </c>
      <c r="N141" t="s">
        <v>56</v>
      </c>
      <c r="O141" t="s">
        <v>57</v>
      </c>
      <c r="P141" t="s">
        <v>22</v>
      </c>
      <c r="Q141" t="s">
        <v>11</v>
      </c>
      <c r="R141" t="s">
        <v>17</v>
      </c>
      <c r="S141">
        <v>25249</v>
      </c>
      <c r="T141">
        <v>25234</v>
      </c>
      <c r="U141">
        <v>-15</v>
      </c>
      <c r="V141" t="s">
        <v>15</v>
      </c>
      <c r="W141" t="s">
        <v>19</v>
      </c>
    </row>
    <row r="142" spans="1:23" x14ac:dyDescent="0.2">
      <c r="M142" s="1">
        <v>46061</v>
      </c>
      <c r="N142" t="s">
        <v>58</v>
      </c>
      <c r="O142" t="s">
        <v>59</v>
      </c>
      <c r="P142" t="s">
        <v>22</v>
      </c>
      <c r="Q142" t="s">
        <v>11</v>
      </c>
      <c r="R142" t="s">
        <v>17</v>
      </c>
      <c r="S142">
        <v>25240.75</v>
      </c>
      <c r="T142">
        <v>25225.75</v>
      </c>
      <c r="U142">
        <v>-15</v>
      </c>
      <c r="V142" t="s">
        <v>60</v>
      </c>
      <c r="W142" t="s">
        <v>19</v>
      </c>
    </row>
    <row r="143" spans="1:23" x14ac:dyDescent="0.2">
      <c r="M143" s="1">
        <v>46061</v>
      </c>
      <c r="N143" t="s">
        <v>61</v>
      </c>
      <c r="O143" t="s">
        <v>62</v>
      </c>
      <c r="P143" t="s">
        <v>22</v>
      </c>
      <c r="Q143" t="s">
        <v>11</v>
      </c>
      <c r="R143" t="s">
        <v>12</v>
      </c>
      <c r="S143">
        <v>25229.75</v>
      </c>
      <c r="T143">
        <v>25206.75</v>
      </c>
      <c r="U143">
        <v>23</v>
      </c>
      <c r="V143" t="s">
        <v>63</v>
      </c>
      <c r="W143" t="s">
        <v>14</v>
      </c>
    </row>
    <row r="144" spans="1:23" x14ac:dyDescent="0.2">
      <c r="M144" s="1">
        <v>46061</v>
      </c>
      <c r="N144" t="s">
        <v>64</v>
      </c>
      <c r="O144" t="s">
        <v>65</v>
      </c>
      <c r="P144" t="s">
        <v>22</v>
      </c>
      <c r="Q144" t="s">
        <v>16</v>
      </c>
      <c r="R144" t="s">
        <v>17</v>
      </c>
      <c r="S144">
        <v>25204</v>
      </c>
      <c r="T144">
        <v>25189</v>
      </c>
      <c r="U144">
        <v>-15</v>
      </c>
      <c r="V144" t="s">
        <v>66</v>
      </c>
      <c r="W144" t="s">
        <v>19</v>
      </c>
    </row>
    <row r="145" spans="13:23" x14ac:dyDescent="0.2">
      <c r="M145" s="1">
        <v>46061</v>
      </c>
      <c r="N145" t="s">
        <v>67</v>
      </c>
      <c r="O145" t="s">
        <v>68</v>
      </c>
      <c r="P145" t="s">
        <v>22</v>
      </c>
      <c r="Q145" t="s">
        <v>16</v>
      </c>
      <c r="R145" t="s">
        <v>17</v>
      </c>
      <c r="S145">
        <v>25191</v>
      </c>
      <c r="T145">
        <v>25221.25</v>
      </c>
      <c r="U145">
        <v>30.25</v>
      </c>
      <c r="V145" t="s">
        <v>27</v>
      </c>
      <c r="W145" t="s">
        <v>25</v>
      </c>
    </row>
    <row r="146" spans="13:23" x14ac:dyDescent="0.2">
      <c r="M146" s="1">
        <v>46061</v>
      </c>
      <c r="N146" t="s">
        <v>69</v>
      </c>
      <c r="O146" t="s">
        <v>70</v>
      </c>
      <c r="P146" t="s">
        <v>22</v>
      </c>
      <c r="Q146" t="s">
        <v>11</v>
      </c>
      <c r="R146" t="s">
        <v>17</v>
      </c>
      <c r="S146">
        <v>25222.25</v>
      </c>
      <c r="T146">
        <v>25207.25</v>
      </c>
      <c r="U146">
        <v>-15</v>
      </c>
      <c r="V146" t="s">
        <v>24</v>
      </c>
      <c r="W146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BFFB4-B9EF-4C43-BC5F-62E6D990E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trades_NQF (2)</vt:lpstr>
      <vt:lpstr>trades_NQF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Kabeer, Abdullah</cp:lastModifiedBy>
  <dcterms:created xsi:type="dcterms:W3CDTF">2026-02-09T05:50:46Z</dcterms:created>
  <dcterms:modified xsi:type="dcterms:W3CDTF">2026-02-09T07:02:21Z</dcterms:modified>
</cp:coreProperties>
</file>